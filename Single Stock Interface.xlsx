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240b9ec6a5603143/Fundamentals/MoreComp/"/>
    </mc:Choice>
  </mc:AlternateContent>
  <xr:revisionPtr revIDLastSave="50" documentId="13_ncr:1_{2C09D4B0-C18D-D34D-AA3B-EDA514E3E347}" xr6:coauthVersionLast="47" xr6:coauthVersionMax="47" xr10:uidLastSave="{EF555044-D041-B845-B523-38F470BC2324}"/>
  <bookViews>
    <workbookView xWindow="10600" yWindow="500" windowWidth="38400" windowHeight="19700" tabRatio="500" xr2:uid="{00000000-000D-0000-FFFF-FFFF00000000}"/>
  </bookViews>
  <sheets>
    <sheet name="temp2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95" i="1" l="1"/>
  <c r="F295" i="1"/>
  <c r="E295" i="1"/>
  <c r="D295" i="1"/>
  <c r="C295" i="1"/>
  <c r="I112" i="1"/>
  <c r="I113" i="1"/>
  <c r="C87" i="1"/>
  <c r="F8" i="1"/>
  <c r="J81" i="1"/>
  <c r="I81" i="1"/>
  <c r="H81" i="1"/>
  <c r="G81" i="1"/>
  <c r="F81" i="1"/>
  <c r="E81" i="1"/>
  <c r="D81" i="1"/>
  <c r="C81" i="1"/>
  <c r="F204" i="1"/>
  <c r="E204" i="1"/>
  <c r="D204" i="1"/>
  <c r="C204" i="1"/>
  <c r="G279" i="1"/>
  <c r="F279" i="1"/>
  <c r="E279" i="1"/>
  <c r="D279" i="1"/>
  <c r="C279" i="1"/>
  <c r="F5" i="1"/>
  <c r="G284" i="1"/>
  <c r="F284" i="1"/>
  <c r="E284" i="1"/>
  <c r="D284" i="1"/>
  <c r="C284" i="1"/>
  <c r="G283" i="1"/>
  <c r="F283" i="1"/>
  <c r="E283" i="1"/>
  <c r="D283" i="1"/>
  <c r="C283" i="1"/>
  <c r="G263" i="1"/>
  <c r="G268" i="1" s="1"/>
  <c r="F263" i="1"/>
  <c r="F268" i="1" s="1"/>
  <c r="E263" i="1"/>
  <c r="E268" i="1" s="1"/>
  <c r="D263" i="1"/>
  <c r="D268" i="1" s="1"/>
  <c r="C263" i="1"/>
  <c r="C268" i="1" s="1"/>
  <c r="I17" i="1"/>
  <c r="H17" i="1"/>
  <c r="G17" i="1"/>
  <c r="F17" i="1"/>
  <c r="E17" i="1"/>
  <c r="D17" i="1"/>
  <c r="C17" i="1"/>
  <c r="G216" i="1"/>
  <c r="F216" i="1"/>
  <c r="E216" i="1"/>
  <c r="D216" i="1"/>
  <c r="G214" i="1"/>
  <c r="F214" i="1"/>
  <c r="E214" i="1"/>
  <c r="D214" i="1"/>
  <c r="G212" i="1"/>
  <c r="F212" i="1"/>
  <c r="E212" i="1"/>
  <c r="D212" i="1"/>
  <c r="G210" i="1"/>
  <c r="F210" i="1"/>
  <c r="E210" i="1"/>
  <c r="D210" i="1"/>
  <c r="J29" i="1"/>
  <c r="I29" i="1"/>
  <c r="H29" i="1"/>
  <c r="G29" i="1"/>
  <c r="F29" i="1"/>
  <c r="E29" i="1"/>
  <c r="D29" i="1"/>
  <c r="J27" i="1"/>
  <c r="I27" i="1"/>
  <c r="H27" i="1"/>
  <c r="G27" i="1"/>
  <c r="F27" i="1"/>
  <c r="E27" i="1"/>
  <c r="D27" i="1"/>
  <c r="J25" i="1"/>
  <c r="I25" i="1"/>
  <c r="H25" i="1"/>
  <c r="G25" i="1"/>
  <c r="F25" i="1"/>
  <c r="E25" i="1"/>
  <c r="D25" i="1"/>
  <c r="J23" i="1"/>
  <c r="I23" i="1"/>
  <c r="H23" i="1"/>
  <c r="G23" i="1"/>
  <c r="F23" i="1"/>
  <c r="E23" i="1"/>
  <c r="D23" i="1"/>
  <c r="C214" i="1"/>
  <c r="C212" i="1"/>
  <c r="C210" i="1"/>
  <c r="G294" i="1"/>
  <c r="F294" i="1"/>
  <c r="E294" i="1"/>
  <c r="D294" i="1"/>
  <c r="C294" i="1"/>
  <c r="C27" i="1"/>
  <c r="C25" i="1"/>
  <c r="C23" i="1"/>
  <c r="I87" i="1"/>
  <c r="H87" i="1"/>
  <c r="G87" i="1"/>
  <c r="F87" i="1"/>
  <c r="E87" i="1"/>
  <c r="D87" i="1"/>
  <c r="J105" i="1"/>
  <c r="I105" i="1"/>
  <c r="H105" i="1"/>
  <c r="G105" i="1"/>
  <c r="F105" i="1"/>
  <c r="E105" i="1"/>
  <c r="D105" i="1"/>
  <c r="C105" i="1"/>
  <c r="R120" i="1"/>
  <c r="G293" i="1"/>
  <c r="D293" i="1"/>
  <c r="E293" i="1"/>
  <c r="F293" i="1"/>
  <c r="C293" i="1"/>
  <c r="F292" i="1"/>
  <c r="E292" i="1"/>
  <c r="D292" i="1"/>
  <c r="C292" i="1"/>
  <c r="F291" i="1"/>
  <c r="E291" i="1"/>
  <c r="D291" i="1"/>
  <c r="C291" i="1"/>
  <c r="F290" i="1"/>
  <c r="E290" i="1"/>
  <c r="D290" i="1"/>
  <c r="C290" i="1"/>
  <c r="D104" i="1"/>
  <c r="E104" i="1"/>
  <c r="F104" i="1"/>
  <c r="G104" i="1"/>
  <c r="H104" i="1"/>
  <c r="I104" i="1"/>
  <c r="J104" i="1"/>
  <c r="C104" i="1"/>
  <c r="G221" i="1"/>
  <c r="F221" i="1"/>
  <c r="E221" i="1"/>
  <c r="D221" i="1"/>
  <c r="C221" i="1"/>
  <c r="C216" i="1" l="1"/>
  <c r="D265" i="1"/>
  <c r="E265" i="1"/>
  <c r="F265" i="1"/>
  <c r="G265" i="1"/>
  <c r="D266" i="1"/>
  <c r="E266" i="1"/>
  <c r="F266" i="1"/>
  <c r="G266" i="1"/>
  <c r="D267" i="1"/>
  <c r="E267" i="1"/>
  <c r="F267" i="1"/>
  <c r="G267" i="1"/>
  <c r="D269" i="1"/>
  <c r="E269" i="1"/>
  <c r="F269" i="1"/>
  <c r="G269" i="1"/>
  <c r="D270" i="1"/>
  <c r="E270" i="1"/>
  <c r="F270" i="1"/>
  <c r="G270" i="1"/>
  <c r="D271" i="1"/>
  <c r="E271" i="1"/>
  <c r="F271" i="1"/>
  <c r="G271" i="1"/>
  <c r="D272" i="1"/>
  <c r="E272" i="1"/>
  <c r="F272" i="1"/>
  <c r="G272" i="1"/>
  <c r="D273" i="1"/>
  <c r="E273" i="1"/>
  <c r="F273" i="1"/>
  <c r="G273" i="1"/>
  <c r="D274" i="1"/>
  <c r="E274" i="1"/>
  <c r="F274" i="1"/>
  <c r="G274" i="1"/>
  <c r="D20" i="1"/>
  <c r="E20" i="1"/>
  <c r="F20" i="1"/>
  <c r="G20" i="1"/>
  <c r="H20" i="1"/>
  <c r="I20" i="1"/>
  <c r="J20" i="1"/>
  <c r="D287" i="1"/>
  <c r="E287" i="1"/>
  <c r="F287" i="1"/>
  <c r="G287" i="1"/>
  <c r="D288" i="1"/>
  <c r="E288" i="1"/>
  <c r="F288" i="1"/>
  <c r="G288" i="1"/>
  <c r="D289" i="1"/>
  <c r="E289" i="1"/>
  <c r="F289" i="1"/>
  <c r="G289" i="1"/>
  <c r="C289" i="1"/>
  <c r="C288" i="1"/>
  <c r="C287" i="1"/>
  <c r="G282" i="1"/>
  <c r="F282" i="1"/>
  <c r="E282" i="1"/>
  <c r="D282" i="1"/>
  <c r="G281" i="1"/>
  <c r="F281" i="1"/>
  <c r="E281" i="1"/>
  <c r="D281" i="1"/>
  <c r="C282" i="1"/>
  <c r="C281" i="1"/>
  <c r="C274" i="1"/>
  <c r="C273" i="1"/>
  <c r="C272" i="1"/>
  <c r="C271" i="1"/>
  <c r="C270" i="1"/>
  <c r="C269" i="1"/>
  <c r="C267" i="1"/>
  <c r="C266" i="1"/>
  <c r="C265" i="1"/>
  <c r="D229" i="1"/>
  <c r="E229" i="1"/>
  <c r="F229" i="1"/>
  <c r="G229" i="1"/>
  <c r="D207" i="1"/>
  <c r="E207" i="1"/>
  <c r="F207" i="1"/>
  <c r="G207" i="1"/>
  <c r="C229" i="1"/>
  <c r="C207" i="1"/>
  <c r="C29" i="1"/>
  <c r="C20" i="1"/>
  <c r="J34" i="1"/>
  <c r="J85" i="1" s="1"/>
  <c r="I34" i="1"/>
  <c r="I85" i="1" s="1"/>
  <c r="H34" i="1"/>
  <c r="G34" i="1"/>
  <c r="G85" i="1" s="1"/>
  <c r="F34" i="1"/>
  <c r="F85" i="1" s="1"/>
  <c r="E34" i="1"/>
  <c r="E85" i="1" s="1"/>
  <c r="D34" i="1"/>
  <c r="D85" i="1" s="1"/>
  <c r="C34" i="1"/>
  <c r="C85" i="1" s="1"/>
  <c r="J98" i="1"/>
  <c r="I98" i="1"/>
  <c r="H98" i="1"/>
  <c r="G98" i="1"/>
  <c r="F98" i="1"/>
  <c r="E98" i="1"/>
  <c r="D98" i="1"/>
  <c r="C98" i="1"/>
  <c r="J80" i="1"/>
  <c r="I80" i="1"/>
  <c r="H80" i="1"/>
  <c r="G80" i="1"/>
  <c r="F80" i="1"/>
  <c r="E80" i="1"/>
  <c r="D80" i="1"/>
  <c r="C80" i="1"/>
  <c r="J86" i="1"/>
  <c r="I86" i="1"/>
  <c r="H86" i="1"/>
  <c r="G86" i="1"/>
  <c r="F86" i="1"/>
  <c r="E86" i="1"/>
  <c r="D86" i="1"/>
  <c r="H85" i="1"/>
  <c r="J84" i="1"/>
  <c r="I84" i="1"/>
  <c r="H84" i="1"/>
  <c r="G84" i="1"/>
  <c r="F84" i="1"/>
  <c r="E84" i="1"/>
  <c r="D84" i="1"/>
  <c r="J83" i="1"/>
  <c r="I83" i="1"/>
  <c r="H83" i="1"/>
  <c r="G83" i="1"/>
  <c r="F83" i="1"/>
  <c r="E83" i="1"/>
  <c r="D83" i="1"/>
  <c r="J82" i="1"/>
  <c r="I82" i="1"/>
  <c r="H82" i="1"/>
  <c r="G82" i="1"/>
  <c r="F82" i="1"/>
  <c r="E82" i="1"/>
  <c r="D82" i="1"/>
  <c r="J79" i="1"/>
  <c r="I79" i="1"/>
  <c r="H79" i="1"/>
  <c r="G79" i="1"/>
  <c r="F79" i="1"/>
  <c r="E79" i="1"/>
  <c r="D79" i="1"/>
  <c r="J78" i="1"/>
  <c r="I78" i="1"/>
  <c r="H78" i="1"/>
  <c r="G78" i="1"/>
  <c r="F78" i="1"/>
  <c r="E78" i="1"/>
  <c r="D78" i="1"/>
  <c r="J42" i="1"/>
  <c r="I42" i="1"/>
  <c r="H42" i="1"/>
  <c r="G42" i="1"/>
  <c r="F42" i="1"/>
  <c r="E42" i="1"/>
  <c r="D42" i="1"/>
  <c r="C42" i="1"/>
  <c r="C86" i="1"/>
  <c r="C84" i="1"/>
  <c r="C83" i="1"/>
  <c r="C82" i="1"/>
  <c r="C79" i="1"/>
  <c r="C78" i="1"/>
  <c r="J103" i="1"/>
  <c r="I103" i="1"/>
  <c r="H103" i="1"/>
  <c r="G103" i="1"/>
  <c r="F103" i="1"/>
  <c r="E103" i="1"/>
  <c r="D103" i="1"/>
  <c r="J102" i="1"/>
  <c r="I102" i="1"/>
  <c r="H102" i="1"/>
  <c r="G102" i="1"/>
  <c r="F102" i="1"/>
  <c r="E102" i="1"/>
  <c r="D102" i="1"/>
  <c r="J101" i="1"/>
  <c r="I101" i="1"/>
  <c r="H101" i="1"/>
  <c r="G101" i="1"/>
  <c r="F101" i="1"/>
  <c r="E101" i="1"/>
  <c r="D101" i="1"/>
  <c r="J100" i="1"/>
  <c r="I100" i="1"/>
  <c r="H100" i="1"/>
  <c r="G100" i="1"/>
  <c r="F100" i="1"/>
  <c r="E100" i="1"/>
  <c r="D100" i="1"/>
  <c r="J99" i="1"/>
  <c r="I99" i="1"/>
  <c r="H99" i="1"/>
  <c r="G99" i="1"/>
  <c r="F99" i="1"/>
  <c r="E99" i="1"/>
  <c r="D99" i="1"/>
  <c r="C103" i="1"/>
  <c r="C102" i="1"/>
  <c r="C101" i="1"/>
  <c r="C100" i="1"/>
  <c r="C99" i="1"/>
  <c r="I120" i="1" l="1"/>
  <c r="M120" i="1"/>
  <c r="D113" i="1"/>
  <c r="D112" i="1"/>
  <c r="J47" i="1"/>
  <c r="J71" i="1" s="1"/>
  <c r="J90" i="1" s="1"/>
  <c r="I47" i="1"/>
  <c r="I71" i="1" s="1"/>
  <c r="I90" i="1" s="1"/>
  <c r="H47" i="1"/>
  <c r="H71" i="1" s="1"/>
  <c r="H90" i="1" s="1"/>
  <c r="G47" i="1"/>
  <c r="G71" i="1" s="1"/>
  <c r="G90" i="1" s="1"/>
  <c r="F47" i="1"/>
  <c r="F71" i="1" s="1"/>
  <c r="F90" i="1" s="1"/>
  <c r="E47" i="1"/>
  <c r="E71" i="1" s="1"/>
  <c r="E90" i="1" s="1"/>
  <c r="D47" i="1"/>
  <c r="D71" i="1" s="1"/>
  <c r="D90" i="1" s="1"/>
  <c r="C47" i="1"/>
  <c r="C71" i="1" s="1"/>
  <c r="C90" i="1" s="1"/>
  <c r="D115" i="1"/>
  <c r="C202" i="1" l="1"/>
  <c r="C234" i="1" s="1"/>
  <c r="C258" i="1" s="1"/>
  <c r="C276" i="1" s="1"/>
  <c r="D202" i="1"/>
  <c r="D234" i="1" s="1"/>
  <c r="D258" i="1" s="1"/>
  <c r="D276" i="1" s="1"/>
  <c r="G202" i="1"/>
  <c r="G234" i="1" s="1"/>
  <c r="G258" i="1" s="1"/>
  <c r="G276" i="1" s="1"/>
  <c r="F202" i="1"/>
  <c r="E202" i="1"/>
  <c r="E234" i="1"/>
  <c r="E258" i="1" s="1"/>
  <c r="E276" i="1" s="1"/>
  <c r="F234" i="1"/>
  <c r="F258" i="1" s="1"/>
  <c r="F27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Andras Bereti</author>
  </authors>
  <commentList>
    <comment ref="E8" authorId="0" shapeId="0" xr:uid="{65D41460-7901-EF4C-A0E0-DD23467CDBAA}">
      <text>
        <r>
          <rPr>
            <sz val="12"/>
            <color rgb="FF000000"/>
            <rFont val="Calibri"/>
            <family val="2"/>
          </rPr>
          <t xml:space="preserve">Andras Bereti:
</t>
        </r>
        <r>
          <rPr>
            <sz val="12"/>
            <color rgb="FF000000"/>
            <rFont val="Calibri"/>
            <family val="2"/>
          </rPr>
          <t>Cash to Market Capitalization measures liquidity and financial stability of a company. If the company has a high cash to market cap ratio (a ratio over 10%), the company is considered financially stable.</t>
        </r>
      </text>
    </comment>
    <comment ref="A20" authorId="0" shapeId="0" xr:uid="{5062A956-4968-F444-B7D6-D7367C742C1D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General Rule: 
</t>
        </r>
        <r>
          <rPr>
            <sz val="10"/>
            <color rgb="FF000000"/>
            <rFont val="Tahoma"/>
            <family val="2"/>
          </rPr>
          <t xml:space="preserve">	&lt;40%: some sort of Durable Competitive Advantage
</t>
        </r>
        <r>
          <rPr>
            <sz val="10"/>
            <color rgb="FF000000"/>
            <rFont val="Tahoma"/>
            <family val="2"/>
          </rPr>
          <t xml:space="preserve">	20&lt; x &lt;40%: highly competitive industry
</t>
        </r>
        <r>
          <rPr>
            <sz val="10"/>
            <color rgb="FF000000"/>
            <rFont val="Tahoma"/>
            <family val="2"/>
          </rPr>
          <t xml:space="preserve">	&lt;20%: fiercely competitive
</t>
        </r>
      </text>
    </comment>
    <comment ref="A22" authorId="0" shapeId="0" xr:uid="{1CB50691-45B8-E345-B7D7-236112ACCF69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SGA: 
</t>
        </r>
        <r>
          <rPr>
            <sz val="10"/>
            <color rgb="FF000000"/>
            <rFont val="Tahoma"/>
            <family val="2"/>
          </rPr>
          <t xml:space="preserve">	&lt;30%: fantastic
</t>
        </r>
        <r>
          <rPr>
            <sz val="10"/>
            <color rgb="FF000000"/>
            <rFont val="Tahoma"/>
            <family val="2"/>
          </rPr>
          <t xml:space="preserve">	30&lt; x &lt;80%: consistent</t>
        </r>
      </text>
    </comment>
    <comment ref="A24" authorId="0" shapeId="0" xr:uid="{4DB58968-A4C5-3340-B6F7-903483B5ADDB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R&amp;D:
</t>
        </r>
        <r>
          <rPr>
            <sz val="10"/>
            <color rgb="FF000000"/>
            <rFont val="Tahoma"/>
            <family val="2"/>
          </rPr>
          <t xml:space="preserve">	check out consistency
</t>
        </r>
        <r>
          <rPr>
            <sz val="10"/>
            <color rgb="FF000000"/>
            <rFont val="Tahoma"/>
            <family val="2"/>
          </rPr>
          <t xml:space="preserve">	check out % to Gross Profit</t>
        </r>
      </text>
    </comment>
    <comment ref="A26" authorId="0" shapeId="0" xr:uid="{E310D511-C4F3-9242-A52A-D862D99E6C91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Depreciation: 
</t>
        </r>
        <r>
          <rPr>
            <sz val="10"/>
            <color rgb="FF000000"/>
            <rFont val="Tahoma"/>
            <family val="2"/>
          </rPr>
          <t xml:space="preserve">	check out consistency
</t>
        </r>
        <r>
          <rPr>
            <sz val="10"/>
            <color rgb="FF000000"/>
            <rFont val="Tahoma"/>
            <family val="2"/>
          </rPr>
          <t xml:space="preserve">	check out % to Gross Profit</t>
        </r>
      </text>
    </comment>
    <comment ref="A29" authorId="0" shapeId="0" xr:uid="{5BB313BA-DA06-0E4B-8FCB-CA0FE4DF9772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Operating Profit Margin
</t>
        </r>
        <r>
          <rPr>
            <sz val="10"/>
            <color rgb="FF000000"/>
            <rFont val="Tahoma"/>
            <family val="2"/>
          </rPr>
          <t xml:space="preserve">	check out consistency
</t>
        </r>
        <r>
          <rPr>
            <sz val="10"/>
            <color rgb="FF000000"/>
            <rFont val="Tahoma"/>
            <family val="2"/>
          </rPr>
          <t xml:space="preserve">	check out % to Gross Profit</t>
        </r>
      </text>
    </comment>
    <comment ref="A32" authorId="0" shapeId="0" xr:uid="{6DF93CBA-9B72-064C-A066-D9C97F3B49CF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EBIT: - more important would be PBT, but always check it</t>
        </r>
      </text>
    </comment>
    <comment ref="A41" authorId="0" shapeId="0" xr:uid="{B044F8AF-41B8-C04B-8BC6-19A66F343725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PAT:
</t>
        </r>
        <r>
          <rPr>
            <sz val="10"/>
            <color rgb="FF000000"/>
            <rFont val="Calibri"/>
            <family val="2"/>
          </rPr>
          <t>&lt;10%: highly competitive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20% &lt;: fantastic, simple rule</t>
        </r>
      </text>
    </comment>
    <comment ref="K41" authorId="0" shapeId="0" xr:uid="{8F099A0D-C446-0340-B98F-449A936ABE55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EBIT:-- more imprtant would be PBT
</t>
        </r>
        <r>
          <rPr>
            <sz val="10"/>
            <color rgb="FF000000"/>
            <rFont val="Tahoma"/>
            <family val="2"/>
          </rPr>
          <t xml:space="preserve">	check it</t>
        </r>
      </text>
    </comment>
    <comment ref="A53" authorId="0" shapeId="0" xr:uid="{5FB47F32-5DDB-9B41-96F5-A8AF6A44A5C0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should be consistent</t>
        </r>
      </text>
    </comment>
    <comment ref="A66" authorId="0" shapeId="0" xr:uid="{C6B61267-11B3-1E44-8134-6BA4A539B7FA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proceedsFromIssuanceOfLongTermDebtAndCapitalSecuritiesNet</t>
        </r>
      </text>
    </comment>
    <comment ref="A68" authorId="0" shapeId="0" xr:uid="{A9CB3EC2-5B69-4C46-84A7-ED7D799F0C88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the more they buy back, the better
</t>
        </r>
      </text>
    </comment>
    <comment ref="A73" authorId="0" shapeId="0" xr:uid="{E4F9CCE3-E3DA-514E-B04C-FF04FDE82743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&lt;50%: good
</t>
        </r>
        <r>
          <rPr>
            <sz val="10"/>
            <color rgb="FF000000"/>
            <rFont val="Tahoma"/>
            <family val="2"/>
          </rPr>
          <t xml:space="preserve">&lt;25%: fantastic
</t>
        </r>
      </text>
    </comment>
    <comment ref="A86" authorId="0" shapeId="0" xr:uid="{6732021F-C050-5C4C-BDE5-8456C82FB60F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The Cash Generating Power Ratio is </t>
        </r>
        <r>
          <rPr>
            <b/>
            <sz val="10"/>
            <color rgb="FF000000"/>
            <rFont val="Calibri"/>
            <family val="2"/>
          </rPr>
          <t>designed to show the company's ability to generate cash purely from operations, compared to the total cash inflow</t>
        </r>
        <r>
          <rPr>
            <sz val="10"/>
            <color rgb="FF000000"/>
            <rFont val="Calibri"/>
            <family val="2"/>
          </rPr>
          <t>. Instead of using the entire cash from investing activities and cash from financing activities, only the inflows is used.</t>
        </r>
      </text>
    </comment>
    <comment ref="A87" authorId="0" shapeId="0" xr:uid="{36D68397-E306-1348-88B9-3FBD62B4480B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If the ratio is </t>
        </r>
        <r>
          <rPr>
            <b/>
            <sz val="10"/>
            <color rgb="FF000000"/>
            <rFont val="Calibri"/>
            <family val="2"/>
          </rPr>
          <t>positive</t>
        </r>
        <r>
          <rPr>
            <sz val="10"/>
            <color rgb="FF000000"/>
            <rFont val="Calibri"/>
            <family val="2"/>
          </rPr>
          <t> (greater than 0) it means that the company was </t>
        </r>
        <r>
          <rPr>
            <b/>
            <sz val="10"/>
            <color rgb="FF000000"/>
            <rFont val="Calibri"/>
            <family val="2"/>
          </rPr>
          <t>not able to finance its assets growth internally</t>
        </r>
        <r>
          <rPr>
            <sz val="10"/>
            <color rgb="FF000000"/>
            <rFont val="Calibri"/>
            <family val="2"/>
          </rPr>
          <t> whereas if the ratio was </t>
        </r>
        <r>
          <rPr>
            <b/>
            <sz val="10"/>
            <color rgb="FF000000"/>
            <rFont val="Calibri"/>
            <family val="2"/>
          </rPr>
          <t>negative</t>
        </r>
        <r>
          <rPr>
            <sz val="10"/>
            <color rgb="FF000000"/>
            <rFont val="Calibri"/>
            <family val="2"/>
          </rPr>
          <t> it means that the </t>
        </r>
        <r>
          <rPr>
            <b/>
            <sz val="10"/>
            <color rgb="FF000000"/>
            <rFont val="Calibri"/>
            <family val="2"/>
          </rPr>
          <t>company generated more than enough cash</t>
        </r>
        <r>
          <rPr>
            <sz val="10"/>
            <color rgb="FF000000"/>
            <rFont val="Calibri"/>
            <family val="2"/>
          </rPr>
          <t> to finance its assets growth.</t>
        </r>
      </text>
    </comment>
    <comment ref="A92" authorId="0" shapeId="0" xr:uid="{F2479341-E727-1E42-8102-5B20B2C312DB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upward</t>
        </r>
      </text>
    </comment>
    <comment ref="A95" authorId="0" shapeId="0" xr:uid="{2409B72B-1F96-4C48-9ABD-746265E9D122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 &lt;80% is good, unless its a financial company</t>
        </r>
      </text>
    </comment>
    <comment ref="A99" authorId="0" shapeId="0" xr:uid="{EB291AA3-3A77-9B49-93A1-D75D600B275F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not always 1 is good, earnings power too
</t>
        </r>
      </text>
    </comment>
    <comment ref="A100" authorId="0" shapeId="0" xr:uid="{DCD91A1E-42DD-1C40-B9D6-882E4DFFB64C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compare to competitors
</t>
        </r>
      </text>
    </comment>
    <comment ref="A105" authorId="0" shapeId="0" xr:uid="{99D0BF86-07F5-F24C-852E-D46925196250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&lt;50%: good
</t>
        </r>
        <r>
          <rPr>
            <sz val="10"/>
            <color rgb="FF000000"/>
            <rFont val="Calibri"/>
            <family val="2"/>
          </rPr>
          <t>&lt;25%: fantastic</t>
        </r>
      </text>
    </comment>
    <comment ref="E156" authorId="0" shapeId="0" xr:uid="{B3C3C4CE-DCA6-ED4E-85D9-72F35178A193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Consistently growing</t>
        </r>
      </text>
    </comment>
    <comment ref="A207" authorId="0" shapeId="0" xr:uid="{8C16F9F0-DBAD-2A4A-97B7-0829D0218061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General Rule: 
</t>
        </r>
        <r>
          <rPr>
            <sz val="10"/>
            <color rgb="FF000000"/>
            <rFont val="Tahoma"/>
            <family val="2"/>
          </rPr>
          <t xml:space="preserve">	&lt;40%: some sort of Durable Competitive Advantage
</t>
        </r>
        <r>
          <rPr>
            <sz val="10"/>
            <color rgb="FF000000"/>
            <rFont val="Tahoma"/>
            <family val="2"/>
          </rPr>
          <t xml:space="preserve">	20&lt; x &lt;40%: highly competitive industry
</t>
        </r>
        <r>
          <rPr>
            <sz val="10"/>
            <color rgb="FF000000"/>
            <rFont val="Tahoma"/>
            <family val="2"/>
          </rPr>
          <t xml:space="preserve">	&lt;20%: fiercely competitive
</t>
        </r>
      </text>
    </comment>
    <comment ref="A209" authorId="0" shapeId="0" xr:uid="{11E70FAC-A534-E948-906C-52AC32E4AB37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SGA: 
</t>
        </r>
        <r>
          <rPr>
            <sz val="10"/>
            <color rgb="FF000000"/>
            <rFont val="Tahoma"/>
            <family val="2"/>
          </rPr>
          <t xml:space="preserve">	&lt;30%: fantastic
</t>
        </r>
        <r>
          <rPr>
            <sz val="10"/>
            <color rgb="FF000000"/>
            <rFont val="Tahoma"/>
            <family val="2"/>
          </rPr>
          <t xml:space="preserve">	30&lt; x &lt;80%: consistent</t>
        </r>
      </text>
    </comment>
    <comment ref="A211" authorId="0" shapeId="0" xr:uid="{24AFF24F-9407-4D4A-AD50-680C16A5CBFA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R&amp;D:
</t>
        </r>
        <r>
          <rPr>
            <sz val="10"/>
            <color rgb="FF000000"/>
            <rFont val="Tahoma"/>
            <family val="2"/>
          </rPr>
          <t xml:space="preserve">	check out consistency
</t>
        </r>
        <r>
          <rPr>
            <sz val="10"/>
            <color rgb="FF000000"/>
            <rFont val="Tahoma"/>
            <family val="2"/>
          </rPr>
          <t xml:space="preserve">	check out % to Gross Profit</t>
        </r>
      </text>
    </comment>
    <comment ref="A213" authorId="0" shapeId="0" xr:uid="{4804C8C4-6661-FC45-AE61-0E0622293821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Depreciation: 
</t>
        </r>
        <r>
          <rPr>
            <sz val="10"/>
            <color rgb="FF000000"/>
            <rFont val="Tahoma"/>
            <family val="2"/>
          </rPr>
          <t xml:space="preserve">	check out consistency
</t>
        </r>
        <r>
          <rPr>
            <sz val="10"/>
            <color rgb="FF000000"/>
            <rFont val="Tahoma"/>
            <family val="2"/>
          </rPr>
          <t xml:space="preserve">	check out % to Gross Profit</t>
        </r>
      </text>
    </comment>
    <comment ref="A216" authorId="0" shapeId="0" xr:uid="{BFB1251B-07DB-2C4E-8F3A-2C8DA4C4A8B6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Operating Profit Margin
</t>
        </r>
        <r>
          <rPr>
            <sz val="10"/>
            <color rgb="FF000000"/>
            <rFont val="Tahoma"/>
            <family val="2"/>
          </rPr>
          <t xml:space="preserve">	check out consistency
</t>
        </r>
        <r>
          <rPr>
            <sz val="10"/>
            <color rgb="FF000000"/>
            <rFont val="Tahoma"/>
            <family val="2"/>
          </rPr>
          <t xml:space="preserve">	check out % to Gross Profit</t>
        </r>
      </text>
    </comment>
    <comment ref="A219" authorId="0" shapeId="0" xr:uid="{37EA684A-26A7-B24E-B7D4-2700FD42050C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EBIT: - more important would be PBT, but always check it</t>
        </r>
      </text>
    </comment>
    <comment ref="A228" authorId="0" shapeId="0" xr:uid="{7A3B61FC-84C1-5648-87A1-ADB3E8E6776B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PAT:
</t>
        </r>
        <r>
          <rPr>
            <sz val="10"/>
            <color rgb="FF000000"/>
            <rFont val="Calibri"/>
            <family val="2"/>
          </rPr>
          <t>&lt;10%: highly competitive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20% &lt;: fantastic, simple rule</t>
        </r>
      </text>
    </comment>
    <comment ref="A235" authorId="0" shapeId="0" xr:uid="{0CA93D2D-B35F-2148-A6F3-EDA4888D7AA9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how consistent?</t>
        </r>
      </text>
    </comment>
    <comment ref="A240" authorId="0" shapeId="0" xr:uid="{EA89E58A-96C0-424D-BAAA-9AE35211202F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should be consistent</t>
        </r>
      </text>
    </comment>
    <comment ref="A255" authorId="0" shapeId="0" xr:uid="{2D774B59-BD71-E249-AC07-AD01D68D3328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the more they buy back, the better
</t>
        </r>
      </text>
    </comment>
    <comment ref="A260" authorId="0" shapeId="0" xr:uid="{60BA2A87-A3DE-1146-A23F-75CBBD0BF4EC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&lt;50%: good
</t>
        </r>
        <r>
          <rPr>
            <sz val="10"/>
            <color rgb="FF000000"/>
            <rFont val="Tahoma"/>
            <family val="2"/>
          </rPr>
          <t xml:space="preserve">&lt;25%: fantastic
</t>
        </r>
      </text>
    </comment>
    <comment ref="A273" authorId="0" shapeId="0" xr:uid="{E00606DB-3424-3145-989D-7ED05A34B16B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The Cash Generating Power Ratio is </t>
        </r>
        <r>
          <rPr>
            <b/>
            <sz val="10"/>
            <color rgb="FF000000"/>
            <rFont val="Calibri"/>
            <family val="2"/>
          </rPr>
          <t>designed to show the company's ability to generate cash purely from operations, compared to the total cash inflow</t>
        </r>
        <r>
          <rPr>
            <sz val="10"/>
            <color rgb="FF000000"/>
            <rFont val="Calibri"/>
            <family val="2"/>
          </rPr>
          <t>. Instead of using the entire cash from investing activities and cash from financing activities, only the inflows is used.</t>
        </r>
      </text>
    </comment>
    <comment ref="A274" authorId="0" shapeId="0" xr:uid="{83273937-D398-BB49-91CF-31A8857D5BF3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If the ratio is </t>
        </r>
        <r>
          <rPr>
            <b/>
            <sz val="10"/>
            <color rgb="FF000000"/>
            <rFont val="Calibri"/>
            <family val="2"/>
          </rPr>
          <t>positive</t>
        </r>
        <r>
          <rPr>
            <sz val="10"/>
            <color rgb="FF000000"/>
            <rFont val="Calibri"/>
            <family val="2"/>
          </rPr>
          <t> (greater than 0) it means that the company was </t>
        </r>
        <r>
          <rPr>
            <b/>
            <sz val="10"/>
            <color rgb="FF000000"/>
            <rFont val="Calibri"/>
            <family val="2"/>
          </rPr>
          <t>not able to finance its assets growth internally</t>
        </r>
        <r>
          <rPr>
            <sz val="10"/>
            <color rgb="FF000000"/>
            <rFont val="Calibri"/>
            <family val="2"/>
          </rPr>
          <t> whereas if the ratio was </t>
        </r>
        <r>
          <rPr>
            <b/>
            <sz val="10"/>
            <color rgb="FF000000"/>
            <rFont val="Calibri"/>
            <family val="2"/>
          </rPr>
          <t>negative</t>
        </r>
        <r>
          <rPr>
            <sz val="10"/>
            <color rgb="FF000000"/>
            <rFont val="Calibri"/>
            <family val="2"/>
          </rPr>
          <t> it means that the </t>
        </r>
        <r>
          <rPr>
            <b/>
            <sz val="10"/>
            <color rgb="FF000000"/>
            <rFont val="Calibri"/>
            <family val="2"/>
          </rPr>
          <t>company generated more than enough cash</t>
        </r>
        <r>
          <rPr>
            <sz val="10"/>
            <color rgb="FF000000"/>
            <rFont val="Calibri"/>
            <family val="2"/>
          </rPr>
          <t> to finance its assets growth.</t>
        </r>
      </text>
    </comment>
    <comment ref="A278" authorId="0" shapeId="0" xr:uid="{ED68CF5C-261C-5745-AC9C-35F74F7F160E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upward; consistent growing</t>
        </r>
      </text>
    </comment>
    <comment ref="A284" authorId="0" shapeId="0" xr:uid="{2F5C46C4-4C2B-A944-8125-73A351904E90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 &lt;80% is good, unless its a financial company</t>
        </r>
      </text>
    </comment>
    <comment ref="A287" authorId="0" shapeId="0" xr:uid="{6DA0189C-7A66-4246-81C7-9AB14295C2AB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not always 1 is good, earnings power too
</t>
        </r>
      </text>
    </comment>
    <comment ref="A288" authorId="0" shapeId="0" xr:uid="{96E00491-E755-1849-A9BA-8F01E729B99F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compare to competitors
</t>
        </r>
      </text>
    </comment>
    <comment ref="A293" authorId="0" shapeId="0" xr:uid="{A79787BC-D327-D446-B83B-17136A9DB737}">
      <text>
        <r>
          <rPr>
            <b/>
            <sz val="10"/>
            <color rgb="FF000000"/>
            <rFont val="Tahoma"/>
            <family val="2"/>
          </rPr>
          <t>Andras Bereti: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&lt;50%: good
</t>
        </r>
        <r>
          <rPr>
            <sz val="10"/>
            <color rgb="FF000000"/>
            <rFont val="Calibri"/>
            <family val="2"/>
          </rPr>
          <t>&lt;25%: fantastic</t>
        </r>
      </text>
    </comment>
  </commentList>
</comments>
</file>

<file path=xl/sharedStrings.xml><?xml version="1.0" encoding="utf-8"?>
<sst xmlns="http://schemas.openxmlformats.org/spreadsheetml/2006/main" count="295" uniqueCount="208">
  <si>
    <t>Admin Data</t>
  </si>
  <si>
    <t>Description</t>
  </si>
  <si>
    <t>Quantitative criteria:</t>
  </si>
  <si>
    <t>Date</t>
  </si>
  <si>
    <t>Price</t>
  </si>
  <si>
    <t>BuyOrSell</t>
  </si>
  <si>
    <t>GoodOrBad</t>
  </si>
  <si>
    <t>Volume</t>
  </si>
  <si>
    <t>Referral Person</t>
  </si>
  <si>
    <t>AB</t>
  </si>
  <si>
    <t>Last 10 days:</t>
  </si>
  <si>
    <t>Issuing Date</t>
  </si>
  <si>
    <t>Last 3 month:</t>
  </si>
  <si>
    <t>Company Name</t>
  </si>
  <si>
    <t>Current Price</t>
  </si>
  <si>
    <t>Last 6 month:</t>
  </si>
  <si>
    <t>Symbol</t>
  </si>
  <si>
    <t>Sector</t>
  </si>
  <si>
    <t>Number of Employees</t>
  </si>
  <si>
    <t>Industry</t>
  </si>
  <si>
    <t/>
  </si>
  <si>
    <t>AnalystTargetPrice</t>
  </si>
  <si>
    <t>Buy Or Sell: last 10 dyas</t>
  </si>
  <si>
    <t>Market Capitalisation</t>
  </si>
  <si>
    <t>Net Cash / Market Cap</t>
  </si>
  <si>
    <t>AnalystRatingStrongBuy</t>
  </si>
  <si>
    <t>Beta</t>
  </si>
  <si>
    <t>EPS</t>
  </si>
  <si>
    <t>52WeekHigh</t>
  </si>
  <si>
    <t>AnalystRatingBuy</t>
  </si>
  <si>
    <t>Exchange</t>
  </si>
  <si>
    <t>P/E</t>
  </si>
  <si>
    <t>52WeekLow</t>
  </si>
  <si>
    <t>AnalystRatingHold</t>
  </si>
  <si>
    <t>Percentage</t>
  </si>
  <si>
    <t>BV</t>
  </si>
  <si>
    <t>AnalystRatingSell</t>
  </si>
  <si>
    <t>AnalystRatingStrongSell</t>
  </si>
  <si>
    <t>P&amp;L Section</t>
  </si>
  <si>
    <t>Revenue</t>
  </si>
  <si>
    <t>Growing?</t>
  </si>
  <si>
    <t>Revenue Growth</t>
  </si>
  <si>
    <t>CoS</t>
  </si>
  <si>
    <t>Gross Profit</t>
  </si>
  <si>
    <t>Gross Profit Margin</t>
  </si>
  <si>
    <t>SG&amp;A</t>
  </si>
  <si>
    <t>SG&amp;A Margin</t>
  </si>
  <si>
    <t>R&amp;D</t>
  </si>
  <si>
    <t>R&amp;D Margin</t>
  </si>
  <si>
    <t>Depreciation</t>
  </si>
  <si>
    <t>Depreciation Margin</t>
  </si>
  <si>
    <t>Operating Profit</t>
  </si>
  <si>
    <t>Operating Profit Margin</t>
  </si>
  <si>
    <t>EBITDA</t>
  </si>
  <si>
    <t>EBIT</t>
  </si>
  <si>
    <t>Last 3 Month</t>
  </si>
  <si>
    <t>Interest Expense</t>
  </si>
  <si>
    <t xml:space="preserve">    Interest Expense (O)</t>
  </si>
  <si>
    <t xml:space="preserve">    Minority Interest</t>
  </si>
  <si>
    <t xml:space="preserve">    Non-Op Interest Exp</t>
  </si>
  <si>
    <t>Taxes paid</t>
  </si>
  <si>
    <t>Net Profit</t>
  </si>
  <si>
    <t xml:space="preserve">PAT: </t>
  </si>
  <si>
    <t>Net Profit Margin</t>
  </si>
  <si>
    <t>Dividends paid</t>
  </si>
  <si>
    <t>BS section</t>
  </si>
  <si>
    <t>Cash and Short Term Investments</t>
  </si>
  <si>
    <t>Inventory</t>
  </si>
  <si>
    <t>Accounts Receivable</t>
  </si>
  <si>
    <t>Total current assets</t>
  </si>
  <si>
    <t>Long-Term Investments</t>
  </si>
  <si>
    <t>PPE</t>
  </si>
  <si>
    <t>Total Assets</t>
  </si>
  <si>
    <t>Accounts Payable</t>
  </si>
  <si>
    <t>`</t>
  </si>
  <si>
    <t>Total current liabilities</t>
  </si>
  <si>
    <t>Total non-current liabilities</t>
  </si>
  <si>
    <t>Long Term Debt</t>
  </si>
  <si>
    <t>Total Debt</t>
  </si>
  <si>
    <t>Reatined Earnings</t>
  </si>
  <si>
    <t>Shares Outstanding</t>
  </si>
  <si>
    <t>Total Shareholders Equity</t>
  </si>
  <si>
    <t>Inv Change (Net) (- : decr)</t>
  </si>
  <si>
    <t>Other Inv act (- : decr)</t>
  </si>
  <si>
    <t>Repayment (-) / Issuance of Debt (Net) (+)</t>
  </si>
  <si>
    <t>Issuance (+) /Purchase of Shares (-)</t>
  </si>
  <si>
    <t>Last 6 Month</t>
  </si>
  <si>
    <t>CF section</t>
  </si>
  <si>
    <t>Cash Flow from Operations (CFFO)</t>
  </si>
  <si>
    <t>Capital Expenditure (CAPEX)</t>
  </si>
  <si>
    <t>Cash Flow from Financing (FCO)</t>
  </si>
  <si>
    <t>Cash Flow from Investing (ICF)</t>
  </si>
  <si>
    <t>Free cash flow (FCF)</t>
  </si>
  <si>
    <t>FCF/revenue</t>
  </si>
  <si>
    <t>FCF/total assets</t>
  </si>
  <si>
    <t>FCF/Equity</t>
  </si>
  <si>
    <t>FCF/Dividend Paid</t>
  </si>
  <si>
    <t>Operating cash flow ratio (OCF / Current Liabilities)</t>
  </si>
  <si>
    <t>Current Liab Coverage Ratio: (OCF - Dividends Paid) / Current Liabilities</t>
  </si>
  <si>
    <t>Long term Debt Coverage Ratio: (OCF - Dividends Paid) / Total Long Term Debt</t>
  </si>
  <si>
    <t>Interest Coverage Ratio: (OCF + Interest Paid + Taxes Paid) / Interest Paid</t>
  </si>
  <si>
    <t>Cash Generation Power: OCF / (OCF + ICF from Inflows + FCF from Inflows)</t>
  </si>
  <si>
    <t>External Financing Ratio: FCF / CFO</t>
  </si>
  <si>
    <t xml:space="preserve">P/E: </t>
  </si>
  <si>
    <t xml:space="preserve">EPS: </t>
  </si>
  <si>
    <t>FCF / Share</t>
  </si>
  <si>
    <t>Debt/Assets</t>
  </si>
  <si>
    <t>Debt/Equity</t>
  </si>
  <si>
    <t>Book value per Share</t>
  </si>
  <si>
    <t>Graham number</t>
  </si>
  <si>
    <t>Dividend / Share</t>
  </si>
  <si>
    <t>what is earningspower</t>
  </si>
  <si>
    <t>Current ratio</t>
  </si>
  <si>
    <t>Quick ratio</t>
  </si>
  <si>
    <t>Working Capital turnover</t>
  </si>
  <si>
    <t>ROA</t>
  </si>
  <si>
    <t>ROE</t>
  </si>
  <si>
    <t>STD/LTD</t>
  </si>
  <si>
    <t>NET Profit / CAPEX</t>
  </si>
  <si>
    <t>Close</t>
  </si>
  <si>
    <t>Technical Suggestion</t>
  </si>
  <si>
    <t>Evaluation Method 1</t>
  </si>
  <si>
    <t>Evaluation Method 3</t>
  </si>
  <si>
    <t>Evaluation Method 2</t>
  </si>
  <si>
    <t>Evaluation Method 3 - Abstract</t>
  </si>
  <si>
    <t>Last Close Price</t>
  </si>
  <si>
    <t>DCF Years</t>
  </si>
  <si>
    <t>DCF AMT</t>
  </si>
  <si>
    <t>TV</t>
  </si>
  <si>
    <t>Shares (Com)</t>
  </si>
  <si>
    <t>MarketCap</t>
  </si>
  <si>
    <t>CapExp</t>
  </si>
  <si>
    <t>Free CF</t>
  </si>
  <si>
    <t>Multip</t>
  </si>
  <si>
    <t>Cash_LiqA</t>
  </si>
  <si>
    <t>Total_Debt</t>
  </si>
  <si>
    <t>EV</t>
  </si>
  <si>
    <t>Common Shares</t>
  </si>
  <si>
    <t>ebit</t>
  </si>
  <si>
    <t>EV_EBIT</t>
  </si>
  <si>
    <t>Under 50SMA</t>
  </si>
  <si>
    <t>1st Year</t>
  </si>
  <si>
    <t>Under 200SMA</t>
  </si>
  <si>
    <t>2nd Year</t>
  </si>
  <si>
    <t>## 1 EBIT</t>
  </si>
  <si>
    <t>3rd Year</t>
  </si>
  <si>
    <t>## 2 EBIT x growth rate</t>
  </si>
  <si>
    <t>Intrinsic</t>
  </si>
  <si>
    <t>4th Year</t>
  </si>
  <si>
    <t>## 3 ave EV/EBIT (last 5 years) --&gt; EVE</t>
  </si>
  <si>
    <t>5th Year</t>
  </si>
  <si>
    <t>## 4 EBITa x EVE --&gt; Terminal Value</t>
  </si>
  <si>
    <t>## 5 Shares Outstanding</t>
  </si>
  <si>
    <t>Disc Rate (S&amp;P500)</t>
  </si>
  <si>
    <t>Perpetuity</t>
  </si>
  <si>
    <t>L3Y</t>
  </si>
  <si>
    <t>L5Y</t>
  </si>
  <si>
    <t>DCF Value</t>
  </si>
  <si>
    <t>## 6 TV / Shares Outstanding</t>
  </si>
  <si>
    <t>Dividend scalp last 4-8 quarters:</t>
  </si>
  <si>
    <t>FCF Hisotrical</t>
  </si>
  <si>
    <t>EPS Hisotrical</t>
  </si>
  <si>
    <t>Dividend per Share Hisotrical</t>
  </si>
  <si>
    <t>Share Price Hisotrical</t>
  </si>
  <si>
    <t>Free cash flow</t>
  </si>
  <si>
    <t>Ratio Section</t>
  </si>
  <si>
    <t>Graham Number</t>
  </si>
  <si>
    <t>PAT Growth</t>
  </si>
  <si>
    <t>Inventory Growth</t>
  </si>
  <si>
    <t>Gross Profit Margin:</t>
  </si>
  <si>
    <t xml:space="preserve">General Rule: </t>
  </si>
  <si>
    <t>&lt;40%: some sort of Durable Competitive Advantage</t>
  </si>
  <si>
    <t>20&lt; x &lt;40%: highly competitive industry</t>
  </si>
  <si>
    <t>&lt;20%: fiercely competitive</t>
  </si>
  <si>
    <t xml:space="preserve">SGA: </t>
  </si>
  <si>
    <t>&lt;30%: fantastic</t>
  </si>
  <si>
    <t>30&lt; x &lt;80%: consistent</t>
  </si>
  <si>
    <t>R&amp;D:</t>
  </si>
  <si>
    <t>check out consistency</t>
  </si>
  <si>
    <t>check out % to Gross Profit</t>
  </si>
  <si>
    <t xml:space="preserve">Depreciation: </t>
  </si>
  <si>
    <t xml:space="preserve">Interest: </t>
  </si>
  <si>
    <t>Cash Generating Power:</t>
  </si>
  <si>
    <t>--&gt; You can notice as we look at the inflows of cash into Visa that they are surviving on their cash from operations, which is very comforting.</t>
  </si>
  <si>
    <t>EBIT:-- more imprtant would be PBT</t>
  </si>
  <si>
    <t>check it</t>
  </si>
  <si>
    <t>PAT:</t>
  </si>
  <si>
    <t>&lt;20%: fantastic, simple rule</t>
  </si>
  <si>
    <t>EPS: Upward</t>
  </si>
  <si>
    <t>Current: not always 1. look at their earnings power too</t>
  </si>
  <si>
    <t>PPE: Check it out</t>
  </si>
  <si>
    <t>Debt to Equity: &lt;80% is good, unless its a financial company</t>
  </si>
  <si>
    <t xml:space="preserve"> +Equity Repurchase (Common, Net)</t>
  </si>
  <si>
    <t xml:space="preserve"> +Net Cash/Marketcap</t>
  </si>
  <si>
    <t>----</t>
  </si>
  <si>
    <t>CF:</t>
  </si>
  <si>
    <t>Operative CF:</t>
  </si>
  <si>
    <t xml:space="preserve">CAPEX: </t>
  </si>
  <si>
    <t>&lt;50%: good</t>
  </si>
  <si>
    <t>&lt;25%: fantastic</t>
  </si>
  <si>
    <t>Stock Buyback: issuance of new stock</t>
  </si>
  <si>
    <t>the more the better</t>
  </si>
  <si>
    <t>---</t>
  </si>
  <si>
    <t>490-491: write out the steps:</t>
  </si>
  <si>
    <t xml:space="preserve">460: #2 (who are the primary dealers) </t>
  </si>
  <si>
    <t xml:space="preserve">check out: </t>
  </si>
  <si>
    <t xml:space="preserve">#3 settlement balances 477 </t>
  </si>
  <si>
    <t>#4 neutralising effect on open market buyback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</si>
</sst>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809]dd\ mmmm\ yyyy;@"/>
    <numFmt numFmtId="165" formatCode="yyyy\-mm\-dd;@"/>
    <numFmt numFmtId="166" formatCode="yyyy\-mm\-dd\ h:mm:ss"/>
    <numFmt numFmtId="167" formatCode="_(* #,##0.0_);_(* \(#,##0.0\);_(* &quot;-&quot;??_);_(@_)"/>
    <numFmt numFmtId="168" formatCode="_(* #,##0_);_(* \(#,##0\);_(* &quot;-&quot;??_);_(@_)"/>
    <numFmt numFmtId="169" formatCode="0.0%"/>
  </numFmts>
  <fonts count="1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</borders>
  <cellStyleXfs count="31">
    <xf numFmtId="0" fontId="0" fillId="0" borderId="0"/>
    <xf numFmtId="0" fontId="2" fillId="0" borderId="0"/>
    <xf numFmtId="0" fontId="3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84">
    <xf numFmtId="0" fontId="0" fillId="0" borderId="0" xfId="0"/>
    <xf numFmtId="43" fontId="0" fillId="0" borderId="0" xfId="30" applyFont="1"/>
    <xf numFmtId="43" fontId="0" fillId="0" borderId="0" xfId="0" applyNumberFormat="1"/>
    <xf numFmtId="0" fontId="0" fillId="0" borderId="0" xfId="0" applyAlignment="1">
      <alignment horizontal="center" vertical="center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0" xfId="0" applyFill="1"/>
    <xf numFmtId="0" fontId="0" fillId="3" borderId="9" xfId="0" applyFill="1" applyBorder="1"/>
    <xf numFmtId="0" fontId="0" fillId="3" borderId="10" xfId="0" applyFill="1" applyBorder="1"/>
    <xf numFmtId="0" fontId="4" fillId="3" borderId="0" xfId="0" applyFont="1" applyFill="1" applyAlignment="1">
      <alignment horizontal="center" vertical="center"/>
    </xf>
    <xf numFmtId="0" fontId="0" fillId="3" borderId="11" xfId="0" applyFill="1" applyBorder="1"/>
    <xf numFmtId="0" fontId="0" fillId="3" borderId="12" xfId="0" applyFill="1" applyBorder="1"/>
    <xf numFmtId="0" fontId="1" fillId="3" borderId="1" xfId="0" applyFont="1" applyFill="1" applyBorder="1"/>
    <xf numFmtId="0" fontId="1" fillId="3" borderId="0" xfId="0" applyFont="1" applyFill="1"/>
    <xf numFmtId="165" fontId="0" fillId="3" borderId="0" xfId="0" applyNumberFormat="1" applyFill="1"/>
    <xf numFmtId="0" fontId="1" fillId="3" borderId="1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right"/>
    </xf>
    <xf numFmtId="0" fontId="0" fillId="2" borderId="2" xfId="0" applyFill="1" applyBorder="1"/>
    <xf numFmtId="0" fontId="0" fillId="2" borderId="0" xfId="0" applyFill="1"/>
    <xf numFmtId="0" fontId="0" fillId="2" borderId="3" xfId="0" applyFill="1" applyBorder="1"/>
    <xf numFmtId="167" fontId="0" fillId="2" borderId="2" xfId="30" applyNumberFormat="1" applyFont="1" applyFill="1" applyBorder="1"/>
    <xf numFmtId="0" fontId="0" fillId="2" borderId="4" xfId="0" applyFill="1" applyBorder="1"/>
    <xf numFmtId="0" fontId="0" fillId="2" borderId="1" xfId="0" applyFill="1" applyBorder="1"/>
    <xf numFmtId="0" fontId="0" fillId="2" borderId="5" xfId="0" applyFill="1" applyBorder="1"/>
    <xf numFmtId="165" fontId="0" fillId="2" borderId="2" xfId="0" applyNumberFormat="1" applyFill="1" applyBorder="1"/>
    <xf numFmtId="0" fontId="1" fillId="2" borderId="12" xfId="0" applyFont="1" applyFill="1" applyBorder="1" applyAlignment="1">
      <alignment horizontal="center" vertical="center"/>
    </xf>
    <xf numFmtId="166" fontId="0" fillId="2" borderId="2" xfId="0" applyNumberFormat="1" applyFill="1" applyBorder="1" applyAlignment="1">
      <alignment horizontal="right"/>
    </xf>
    <xf numFmtId="166" fontId="0" fillId="2" borderId="2" xfId="0" applyNumberFormat="1" applyFill="1" applyBorder="1"/>
    <xf numFmtId="166" fontId="0" fillId="2" borderId="4" xfId="0" applyNumberFormat="1" applyFill="1" applyBorder="1"/>
    <xf numFmtId="43" fontId="0" fillId="3" borderId="0" xfId="0" applyNumberFormat="1" applyFill="1"/>
    <xf numFmtId="2" fontId="0" fillId="2" borderId="0" xfId="0" applyNumberFormat="1" applyFill="1"/>
    <xf numFmtId="0" fontId="6" fillId="3" borderId="0" xfId="0" applyFont="1" applyFill="1"/>
    <xf numFmtId="0" fontId="5" fillId="3" borderId="0" xfId="0" applyFont="1" applyFill="1"/>
    <xf numFmtId="10" fontId="0" fillId="0" borderId="0" xfId="29" applyNumberFormat="1" applyFont="1"/>
    <xf numFmtId="168" fontId="0" fillId="0" borderId="0" xfId="30" applyNumberFormat="1" applyFont="1"/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43" fontId="0" fillId="2" borderId="0" xfId="30" applyFont="1" applyFill="1" applyBorder="1"/>
    <xf numFmtId="0" fontId="0" fillId="5" borderId="0" xfId="0" applyFill="1"/>
    <xf numFmtId="169" fontId="0" fillId="0" borderId="0" xfId="29" applyNumberFormat="1" applyFont="1"/>
    <xf numFmtId="43" fontId="0" fillId="4" borderId="0" xfId="30" applyFont="1" applyFill="1"/>
    <xf numFmtId="43" fontId="0" fillId="0" borderId="0" xfId="0" applyNumberFormat="1" applyAlignment="1">
      <alignment horizontal="center" vertical="center"/>
    </xf>
    <xf numFmtId="168" fontId="0" fillId="0" borderId="0" xfId="30" applyNumberFormat="1" applyFont="1" applyAlignment="1">
      <alignment horizontal="center" vertical="center"/>
    </xf>
    <xf numFmtId="10" fontId="0" fillId="4" borderId="0" xfId="29" applyNumberFormat="1" applyFont="1" applyFill="1"/>
    <xf numFmtId="165" fontId="0" fillId="0" borderId="0" xfId="30" applyNumberFormat="1" applyFont="1"/>
    <xf numFmtId="0" fontId="1" fillId="0" borderId="0" xfId="0" applyFont="1"/>
    <xf numFmtId="43" fontId="0" fillId="0" borderId="0" xfId="30" applyFont="1" applyFill="1"/>
    <xf numFmtId="0" fontId="0" fillId="2" borderId="3" xfId="0" applyFill="1" applyBorder="1" applyAlignment="1">
      <alignment horizontal="right"/>
    </xf>
    <xf numFmtId="0" fontId="0" fillId="2" borderId="0" xfId="0" applyFill="1" applyAlignment="1">
      <alignment horizontal="right"/>
    </xf>
    <xf numFmtId="0" fontId="0" fillId="2" borderId="16" xfId="0" applyFill="1" applyBorder="1"/>
    <xf numFmtId="168" fontId="0" fillId="3" borderId="0" xfId="30" applyNumberFormat="1" applyFont="1" applyFill="1"/>
    <xf numFmtId="10" fontId="0" fillId="0" borderId="0" xfId="0" applyNumberFormat="1"/>
    <xf numFmtId="168" fontId="8" fillId="0" borderId="0" xfId="0" applyNumberFormat="1" applyFont="1"/>
    <xf numFmtId="168" fontId="0" fillId="0" borderId="0" xfId="0" applyNumberFormat="1"/>
    <xf numFmtId="165" fontId="0" fillId="0" borderId="0" xfId="0" applyNumberFormat="1"/>
    <xf numFmtId="43" fontId="0" fillId="0" borderId="10" xfId="0" applyNumberFormat="1" applyBorder="1"/>
    <xf numFmtId="0" fontId="0" fillId="2" borderId="8" xfId="0" applyFill="1" applyBorder="1"/>
    <xf numFmtId="0" fontId="0" fillId="2" borderId="10" xfId="0" applyFill="1" applyBorder="1"/>
    <xf numFmtId="0" fontId="0" fillId="2" borderId="13" xfId="0" applyFill="1" applyBorder="1"/>
    <xf numFmtId="164" fontId="0" fillId="2" borderId="0" xfId="0" applyNumberFormat="1" applyFill="1"/>
    <xf numFmtId="0" fontId="0" fillId="3" borderId="6" xfId="0" quotePrefix="1" applyFill="1" applyBorder="1"/>
    <xf numFmtId="0" fontId="0" fillId="3" borderId="9" xfId="0" quotePrefix="1" applyFill="1" applyBorder="1"/>
    <xf numFmtId="14" fontId="0" fillId="3" borderId="0" xfId="0" applyNumberFormat="1" applyFill="1"/>
    <xf numFmtId="14" fontId="0" fillId="3" borderId="0" xfId="0" quotePrefix="1" applyNumberFormat="1" applyFill="1"/>
    <xf numFmtId="165" fontId="0" fillId="0" borderId="0" xfId="30" applyNumberFormat="1" applyFont="1" applyAlignment="1">
      <alignment horizontal="center" vertical="center"/>
    </xf>
    <xf numFmtId="168" fontId="0" fillId="2" borderId="3" xfId="30" applyNumberFormat="1" applyFont="1" applyFill="1" applyBorder="1" applyAlignment="1">
      <alignment horizontal="right"/>
    </xf>
    <xf numFmtId="168" fontId="0" fillId="2" borderId="3" xfId="30" applyNumberFormat="1" applyFont="1" applyFill="1" applyBorder="1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4" xfId="0" applyFill="1" applyBorder="1"/>
    <xf numFmtId="0" fontId="0" fillId="2" borderId="15" xfId="0" applyFill="1" applyBorder="1"/>
  </cellXfs>
  <cellStyles count="31">
    <cellStyle name="Comma" xfId="30" builtinId="3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15" builtinId="8" hidden="1"/>
    <cellStyle name="Hyperlink" xfId="17" builtinId="8" hidden="1"/>
    <cellStyle name="Hyperlink" xfId="19" builtinId="8" hidden="1"/>
    <cellStyle name="Hyperlink" xfId="23" builtinId="8" hidden="1"/>
    <cellStyle name="Hyperlink" xfId="25" builtinId="8" hidden="1"/>
    <cellStyle name="Hyperlink" xfId="27" builtinId="8" hidden="1"/>
    <cellStyle name="Hyperlink" xfId="21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3" builtinId="8" hidden="1"/>
    <cellStyle name="Hyperlink" xfId="5" builtinId="8" hidden="1"/>
    <cellStyle name="Hyperlink" xfId="1" builtinId="8" hidden="1"/>
    <cellStyle name="Normal" xfId="0" builtinId="0"/>
    <cellStyle name="Percent" xfId="29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r>
              <a:rPr lang="en-GB"/>
              <a:t>Revenue</a:t>
            </a:r>
          </a:p>
        </c:rich>
      </c:tx>
      <c:layout>
        <c:manualLayout>
          <c:xMode val="edge"/>
          <c:yMode val="edge"/>
          <c:x val="0.41808028233758909"/>
          <c:y val="4.5454850058636288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9.3220596146153745E-2"/>
          <c:y val="0.19192013849500131"/>
          <c:w val="0.87853349701375194"/>
          <c:h val="0.6161646551681618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temp2!$A$203</c:f>
              <c:strCache>
                <c:ptCount val="1"/>
                <c:pt idx="0">
                  <c:v>Revenue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temp2!$C$202:$G$202</c:f>
              <c:strCache>
                <c:ptCount val="5"/>
                <c:pt idx="0">
                  <c:v>L4Q, YE at 0</c:v>
                </c:pt>
                <c:pt idx="1">
                  <c:v>L4Q, YE at -1</c:v>
                </c:pt>
                <c:pt idx="2">
                  <c:v>L4Q, YE at -2</c:v>
                </c:pt>
                <c:pt idx="3">
                  <c:v>L4Q, YE at -3</c:v>
                </c:pt>
                <c:pt idx="4">
                  <c:v>L4Q, YE at -4</c:v>
                </c:pt>
              </c:strCache>
            </c:strRef>
          </c:cat>
          <c:val>
            <c:numRef>
              <c:f>temp2!$C$203:$G$203</c:f>
              <c:numCache>
                <c:formatCode>_(* #,##0_);_(* \(#,##0\);_(* "-"??_);_(@_)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42D5-C744-A3DC-708955EB6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8494096"/>
        <c:axId val="1"/>
      </c:barChart>
      <c:catAx>
        <c:axId val="96849409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#,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9684940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r>
              <a:rPr lang="en-GB"/>
              <a:t>Profit</a:t>
            </a:r>
          </a:p>
        </c:rich>
      </c:tx>
      <c:layout>
        <c:manualLayout>
          <c:xMode val="edge"/>
          <c:yMode val="edge"/>
          <c:x val="0.46000085703572768"/>
          <c:y val="4.5226447757860062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2222400656251429E-2"/>
          <c:y val="0.24623175995151531"/>
          <c:w val="0.90000195312923859"/>
          <c:h val="0.47236296807025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temp2!$A$228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temp2!$C$202:$G$202</c:f>
              <c:strCache>
                <c:ptCount val="5"/>
                <c:pt idx="0">
                  <c:v>L4Q, YE at 0</c:v>
                </c:pt>
                <c:pt idx="1">
                  <c:v>L4Q, YE at -1</c:v>
                </c:pt>
                <c:pt idx="2">
                  <c:v>L4Q, YE at -2</c:v>
                </c:pt>
                <c:pt idx="3">
                  <c:v>L4Q, YE at -3</c:v>
                </c:pt>
                <c:pt idx="4">
                  <c:v>L4Q, YE at -4</c:v>
                </c:pt>
              </c:strCache>
            </c:strRef>
          </c:cat>
          <c:val>
            <c:numRef>
              <c:f>temp2!$C$228:$G$228</c:f>
              <c:numCache>
                <c:formatCode>_(* #,##0_);_(* \(#,##0\);_(* "-"??_);_(@_)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D847-7346-A8D9-107FA4EF6DCB}"/>
            </c:ext>
          </c:extLst>
        </c:ser>
        <c:ser>
          <c:idx val="1"/>
          <c:order val="1"/>
          <c:tx>
            <c:strRef>
              <c:f>temp2!$A$218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temp2!$C$202:$G$202</c:f>
              <c:strCache>
                <c:ptCount val="5"/>
                <c:pt idx="0">
                  <c:v>L4Q, YE at 0</c:v>
                </c:pt>
                <c:pt idx="1">
                  <c:v>L4Q, YE at -1</c:v>
                </c:pt>
                <c:pt idx="2">
                  <c:v>L4Q, YE at -2</c:v>
                </c:pt>
                <c:pt idx="3">
                  <c:v>L4Q, YE at -3</c:v>
                </c:pt>
                <c:pt idx="4">
                  <c:v>L4Q, YE at -4</c:v>
                </c:pt>
              </c:strCache>
            </c:strRef>
          </c:cat>
          <c:val>
            <c:numRef>
              <c:f>temp2!$C$218:$G$218</c:f>
              <c:numCache>
                <c:formatCode>_(* #,##0_);_(* \(#,##0\);_(* "-"??_);_(@_)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D847-7346-A8D9-107FA4EF6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7248768"/>
        <c:axId val="1"/>
      </c:barChart>
      <c:catAx>
        <c:axId val="95724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95724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8377674579590561"/>
          <c:y val="0.89513240340782985"/>
          <c:w val="0.63486512184040123"/>
          <c:h val="8.391866281948404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strike="noStrike" baseline="0">
              <a:solidFill>
                <a:srgbClr val="000000"/>
              </a:solidFill>
              <a:latin typeface="Century Gothic"/>
              <a:ea typeface="Century Gothic"/>
              <a:cs typeface="Century Gothic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r>
              <a:rPr lang="en-GB"/>
              <a:t>Gross Profit Margin
</a:t>
            </a:r>
          </a:p>
        </c:rich>
      </c:tx>
      <c:layout>
        <c:manualLayout>
          <c:xMode val="edge"/>
          <c:yMode val="edge"/>
          <c:x val="0.33066776082270111"/>
          <c:y val="4.5226136206658378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2800033333420141"/>
          <c:y val="0.26633231178429201"/>
          <c:w val="0.8506688819502134"/>
          <c:h val="0.452262416237476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temp2!$C$202:$G$202</c:f>
              <c:strCache>
                <c:ptCount val="5"/>
                <c:pt idx="0">
                  <c:v>L4Q, YE at 0</c:v>
                </c:pt>
                <c:pt idx="1">
                  <c:v>L4Q, YE at -1</c:v>
                </c:pt>
                <c:pt idx="2">
                  <c:v>L4Q, YE at -2</c:v>
                </c:pt>
                <c:pt idx="3">
                  <c:v>L4Q, YE at -3</c:v>
                </c:pt>
                <c:pt idx="4">
                  <c:v>L4Q, YE at -4</c:v>
                </c:pt>
              </c:strCache>
            </c:strRef>
          </c:cat>
          <c:val>
            <c:numRef>
              <c:f>temp2!$C$207:$G$207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temp2!#REF!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F75-7F4C-AE72-B35843EB4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9009120"/>
        <c:axId val="1"/>
      </c:barChart>
      <c:catAx>
        <c:axId val="959009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9590091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r>
              <a:rPr lang="en-GB"/>
              <a:t>Liquidity</a:t>
            </a:r>
          </a:p>
        </c:rich>
      </c:tx>
      <c:layout>
        <c:manualLayout>
          <c:xMode val="edge"/>
          <c:yMode val="edge"/>
          <c:x val="0.41690200241823699"/>
          <c:y val="4.5454850058636288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1267621131741209"/>
          <c:y val="0.1818190785742117"/>
          <c:w val="0.8760575429928793"/>
          <c:h val="0.47980034623750312"/>
        </c:manualLayout>
      </c:layout>
      <c:lineChart>
        <c:grouping val="standard"/>
        <c:varyColors val="0"/>
        <c:ser>
          <c:idx val="0"/>
          <c:order val="0"/>
          <c:tx>
            <c:strRef>
              <c:f>temp2!$A$287</c:f>
              <c:strCache>
                <c:ptCount val="1"/>
                <c:pt idx="0">
                  <c:v>Current ratio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temp2!$C$234:$G$234</c:f>
              <c:strCache>
                <c:ptCount val="5"/>
                <c:pt idx="0">
                  <c:v>L4Q, YE at 0</c:v>
                </c:pt>
                <c:pt idx="1">
                  <c:v>L4Q, YE at -1</c:v>
                </c:pt>
                <c:pt idx="2">
                  <c:v>L4Q, YE at -2</c:v>
                </c:pt>
                <c:pt idx="3">
                  <c:v>L4Q, YE at -3</c:v>
                </c:pt>
                <c:pt idx="4">
                  <c:v>L4Q, YE at -4</c:v>
                </c:pt>
              </c:strCache>
            </c:strRef>
          </c:cat>
          <c:val>
            <c:numRef>
              <c:f>temp2!$C$287:$G$287</c:f>
              <c:numCache>
                <c:formatCode>_(* #,##0.00_);_(* \(#,##0.00\);_(*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43-A349-A587-EE1187BF676E}"/>
            </c:ext>
          </c:extLst>
        </c:ser>
        <c:ser>
          <c:idx val="1"/>
          <c:order val="1"/>
          <c:tx>
            <c:strRef>
              <c:f>temp2!$A$288</c:f>
              <c:strCache>
                <c:ptCount val="1"/>
                <c:pt idx="0">
                  <c:v>Quick ratio</c:v>
                </c:pt>
              </c:strCache>
            </c:strRef>
          </c:tx>
          <c:spPr>
            <a:ln w="12700">
              <a:solidFill>
                <a:srgbClr val="0066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c:spPr>
          </c:marker>
          <c:cat>
            <c:strRef>
              <c:f>temp2!$C$234:$G$234</c:f>
              <c:strCache>
                <c:ptCount val="5"/>
                <c:pt idx="0">
                  <c:v>L4Q, YE at 0</c:v>
                </c:pt>
                <c:pt idx="1">
                  <c:v>L4Q, YE at -1</c:v>
                </c:pt>
                <c:pt idx="2">
                  <c:v>L4Q, YE at -2</c:v>
                </c:pt>
                <c:pt idx="3">
                  <c:v>L4Q, YE at -3</c:v>
                </c:pt>
                <c:pt idx="4">
                  <c:v>L4Q, YE at -4</c:v>
                </c:pt>
              </c:strCache>
            </c:strRef>
          </c:cat>
          <c:val>
            <c:numRef>
              <c:f>temp2!$C$288:$G$288</c:f>
              <c:numCache>
                <c:formatCode>_(* #,##0.00_);_(* \(#,##0.00\);_(*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43-A349-A587-EE1187BF6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8478672"/>
        <c:axId val="1"/>
      </c:lineChart>
      <c:catAx>
        <c:axId val="968478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96847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8687425319221506E-2"/>
          <c:y val="0.8671595158013351"/>
          <c:w val="0.80265772592966822"/>
          <c:h val="0.104898328524355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strike="noStrike" baseline="0">
              <a:solidFill>
                <a:srgbClr val="000000"/>
              </a:solidFill>
              <a:latin typeface="Century Gothic"/>
              <a:ea typeface="Century Gothic"/>
              <a:cs typeface="Century Gothic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r>
              <a:rPr lang="en-GB"/>
              <a:t>Dividend per share</a:t>
            </a:r>
          </a:p>
        </c:rich>
      </c:tx>
      <c:layout>
        <c:manualLayout>
          <c:xMode val="edge"/>
          <c:yMode val="edge"/>
          <c:x val="0.40096511308998151"/>
          <c:y val="5.9454826557018343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5466706944549341"/>
          <c:y val="0.25252649801973848"/>
          <c:w val="0.82933549306117982"/>
          <c:h val="0.49495193611868737"/>
        </c:manualLayout>
      </c:layout>
      <c:lineChart>
        <c:grouping val="standard"/>
        <c:varyColors val="0"/>
        <c:ser>
          <c:idx val="0"/>
          <c:order val="0"/>
          <c:tx>
            <c:strRef>
              <c:f>temp2!$A$279</c:f>
              <c:strCache>
                <c:ptCount val="1"/>
                <c:pt idx="0">
                  <c:v>Dividend / Share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temp2!$C$234:$G$234</c:f>
              <c:strCache>
                <c:ptCount val="5"/>
                <c:pt idx="0">
                  <c:v>L4Q, YE at 0</c:v>
                </c:pt>
                <c:pt idx="1">
                  <c:v>L4Q, YE at -1</c:v>
                </c:pt>
                <c:pt idx="2">
                  <c:v>L4Q, YE at -2</c:v>
                </c:pt>
                <c:pt idx="3">
                  <c:v>L4Q, YE at -3</c:v>
                </c:pt>
                <c:pt idx="4">
                  <c:v>L4Q, YE at -4</c:v>
                </c:pt>
              </c:strCache>
            </c:strRef>
          </c:cat>
          <c:val>
            <c:numRef>
              <c:f>temp2!$C$279:$G$279</c:f>
              <c:numCache>
                <c:formatCode>_(* #,##0.00_);_(* \(#,##0.00\);_(*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9D-C549-AB9D-DAB81A9A2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7877248"/>
        <c:axId val="1"/>
      </c:lineChart>
      <c:catAx>
        <c:axId val="967877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9678772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r>
              <a:rPr lang="en-GB"/>
              <a:t>Revenue-PAT-Inventory</a:t>
            </a:r>
          </a:p>
        </c:rich>
      </c:tx>
      <c:layout>
        <c:manualLayout>
          <c:xMode val="edge"/>
          <c:yMode val="edge"/>
          <c:x val="0.41690200241823699"/>
          <c:y val="4.5454850058636288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1267621131741209"/>
          <c:y val="0.1818190785742117"/>
          <c:w val="0.8760575429928793"/>
          <c:h val="0.47980034623750312"/>
        </c:manualLayout>
      </c:layout>
      <c:lineChart>
        <c:grouping val="standard"/>
        <c:varyColors val="0"/>
        <c:ser>
          <c:idx val="0"/>
          <c:order val="0"/>
          <c:tx>
            <c:strRef>
              <c:f>temp2!$A$290</c:f>
              <c:strCache>
                <c:ptCount val="1"/>
                <c:pt idx="0">
                  <c:v>Revenue Growth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temp2!$C$234:$F$234</c:f>
              <c:strCache>
                <c:ptCount val="4"/>
                <c:pt idx="0">
                  <c:v>L4Q, YE at 0</c:v>
                </c:pt>
                <c:pt idx="1">
                  <c:v>L4Q, YE at -1</c:v>
                </c:pt>
                <c:pt idx="2">
                  <c:v>L4Q, YE at -2</c:v>
                </c:pt>
                <c:pt idx="3">
                  <c:v>L4Q, YE at -3</c:v>
                </c:pt>
              </c:strCache>
            </c:strRef>
          </c:cat>
          <c:val>
            <c:numRef>
              <c:f>temp2!$C$290:$F$290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CD-964F-BFB0-E4BDE3D62148}"/>
            </c:ext>
          </c:extLst>
        </c:ser>
        <c:ser>
          <c:idx val="1"/>
          <c:order val="1"/>
          <c:tx>
            <c:strRef>
              <c:f>temp2!$A$291</c:f>
              <c:strCache>
                <c:ptCount val="1"/>
                <c:pt idx="0">
                  <c:v>PAT Growth</c:v>
                </c:pt>
              </c:strCache>
            </c:strRef>
          </c:tx>
          <c:spPr>
            <a:ln w="12700">
              <a:solidFill>
                <a:srgbClr val="0066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c:spPr>
          </c:marker>
          <c:cat>
            <c:strRef>
              <c:f>temp2!$C$234:$F$234</c:f>
              <c:strCache>
                <c:ptCount val="4"/>
                <c:pt idx="0">
                  <c:v>L4Q, YE at 0</c:v>
                </c:pt>
                <c:pt idx="1">
                  <c:v>L4Q, YE at -1</c:v>
                </c:pt>
                <c:pt idx="2">
                  <c:v>L4Q, YE at -2</c:v>
                </c:pt>
                <c:pt idx="3">
                  <c:v>L4Q, YE at -3</c:v>
                </c:pt>
              </c:strCache>
            </c:strRef>
          </c:cat>
          <c:val>
            <c:numRef>
              <c:f>temp2!$C$291:$F$291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CD-964F-BFB0-E4BDE3D62148}"/>
            </c:ext>
          </c:extLst>
        </c:ser>
        <c:ser>
          <c:idx val="2"/>
          <c:order val="2"/>
          <c:tx>
            <c:strRef>
              <c:f>temp2!$A$292</c:f>
              <c:strCache>
                <c:ptCount val="1"/>
                <c:pt idx="0">
                  <c:v>Inventory Growth</c:v>
                </c:pt>
              </c:strCache>
            </c:strRef>
          </c:tx>
          <c:cat>
            <c:strRef>
              <c:f>temp2!$C$234:$F$234</c:f>
              <c:strCache>
                <c:ptCount val="4"/>
                <c:pt idx="0">
                  <c:v>L4Q, YE at 0</c:v>
                </c:pt>
                <c:pt idx="1">
                  <c:v>L4Q, YE at -1</c:v>
                </c:pt>
                <c:pt idx="2">
                  <c:v>L4Q, YE at -2</c:v>
                </c:pt>
                <c:pt idx="3">
                  <c:v>L4Q, YE at -3</c:v>
                </c:pt>
              </c:strCache>
            </c:strRef>
          </c:cat>
          <c:val>
            <c:numRef>
              <c:f>temp2!$C$292:$F$292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CD-964F-BFB0-E4BDE3D62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8478672"/>
        <c:axId val="1"/>
      </c:lineChart>
      <c:catAx>
        <c:axId val="968478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96847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8687425319221506E-2"/>
          <c:y val="0.8671595158013351"/>
          <c:w val="0.79058520868607485"/>
          <c:h val="0.1328406142090407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strike="noStrike" baseline="0">
              <a:solidFill>
                <a:srgbClr val="000000"/>
              </a:solidFill>
              <a:latin typeface="Century Gothic"/>
              <a:ea typeface="Century Gothic"/>
              <a:cs typeface="Century Gothic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Solvency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temp2!$A$283</c:f>
              <c:strCache>
                <c:ptCount val="1"/>
                <c:pt idx="0">
                  <c:v>Debt/Assets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temp2!$C$258:$G$258</c:f>
              <c:strCache>
                <c:ptCount val="5"/>
                <c:pt idx="0">
                  <c:v>L4Q, YE at 0</c:v>
                </c:pt>
                <c:pt idx="1">
                  <c:v>L4Q, YE at -1</c:v>
                </c:pt>
                <c:pt idx="2">
                  <c:v>L4Q, YE at -2</c:v>
                </c:pt>
                <c:pt idx="3">
                  <c:v>L4Q, YE at -3</c:v>
                </c:pt>
                <c:pt idx="4">
                  <c:v>L4Q, YE at -4</c:v>
                </c:pt>
              </c:strCache>
            </c:strRef>
          </c:cat>
          <c:val>
            <c:numRef>
              <c:f>temp2!$C$283:$G$283</c:f>
              <c:numCache>
                <c:formatCode>_(* #,##0.00_);_(* \(#,##0.00\);_(*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2-054A-8388-DF374246F5A4}"/>
            </c:ext>
          </c:extLst>
        </c:ser>
        <c:ser>
          <c:idx val="1"/>
          <c:order val="1"/>
          <c:tx>
            <c:strRef>
              <c:f>temp2!$A$284</c:f>
              <c:strCache>
                <c:ptCount val="1"/>
                <c:pt idx="0">
                  <c:v>Debt/Equity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temp2!$C$258:$G$258</c:f>
              <c:strCache>
                <c:ptCount val="5"/>
                <c:pt idx="0">
                  <c:v>L4Q, YE at 0</c:v>
                </c:pt>
                <c:pt idx="1">
                  <c:v>L4Q, YE at -1</c:v>
                </c:pt>
                <c:pt idx="2">
                  <c:v>L4Q, YE at -2</c:v>
                </c:pt>
                <c:pt idx="3">
                  <c:v>L4Q, YE at -3</c:v>
                </c:pt>
                <c:pt idx="4">
                  <c:v>L4Q, YE at -4</c:v>
                </c:pt>
              </c:strCache>
            </c:strRef>
          </c:cat>
          <c:val>
            <c:numRef>
              <c:f>temp2!$C$284:$G$284</c:f>
              <c:numCache>
                <c:formatCode>_(* #,##0.00_);_(* \(#,##0.00\);_(*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12-054A-8388-DF374246F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4092303"/>
        <c:axId val="1824094015"/>
      </c:barChart>
      <c:catAx>
        <c:axId val="182409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094015"/>
        <c:crosses val="autoZero"/>
        <c:auto val="1"/>
        <c:lblAlgn val="ctr"/>
        <c:lblOffset val="100"/>
        <c:noMultiLvlLbl val="0"/>
      </c:catAx>
      <c:valAx>
        <c:axId val="182409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09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201</xdr:row>
      <xdr:rowOff>0</xdr:rowOff>
    </xdr:from>
    <xdr:to>
      <xdr:col>13</xdr:col>
      <xdr:colOff>965200</xdr:colOff>
      <xdr:row>210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5006C9-8BA2-D54A-A577-7E8F30A83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</xdr:colOff>
      <xdr:row>221</xdr:row>
      <xdr:rowOff>139700</xdr:rowOff>
    </xdr:from>
    <xdr:to>
      <xdr:col>13</xdr:col>
      <xdr:colOff>952501</xdr:colOff>
      <xdr:row>233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D3BA2D-E2BC-294C-9BD0-2BEBA9F29C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1333500</xdr:colOff>
      <xdr:row>211</xdr:row>
      <xdr:rowOff>101600</xdr:rowOff>
    </xdr:from>
    <xdr:to>
      <xdr:col>13</xdr:col>
      <xdr:colOff>952500</xdr:colOff>
      <xdr:row>220</xdr:row>
      <xdr:rowOff>87085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506114-B1F7-4640-A1B9-9A65A8BA9F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12700</xdr:colOff>
      <xdr:row>261</xdr:row>
      <xdr:rowOff>101600</xdr:rowOff>
    </xdr:from>
    <xdr:to>
      <xdr:col>13</xdr:col>
      <xdr:colOff>914400</xdr:colOff>
      <xdr:row>272</xdr:row>
      <xdr:rowOff>10556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517D392-5F30-8742-9CA7-8E4656070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12701</xdr:colOff>
      <xdr:row>248</xdr:row>
      <xdr:rowOff>101600</xdr:rowOff>
    </xdr:from>
    <xdr:to>
      <xdr:col>13</xdr:col>
      <xdr:colOff>889001</xdr:colOff>
      <xdr:row>259</xdr:row>
      <xdr:rowOff>175490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0FC5D29-74ED-6D4A-B898-7C1C86CEA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287</xdr:row>
      <xdr:rowOff>0</xdr:rowOff>
    </xdr:from>
    <xdr:to>
      <xdr:col>13</xdr:col>
      <xdr:colOff>901700</xdr:colOff>
      <xdr:row>297</xdr:row>
      <xdr:rowOff>112156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087A5F-98E5-CD41-B584-BFE155DE6E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12700</xdr:colOff>
      <xdr:row>273</xdr:row>
      <xdr:rowOff>12700</xdr:rowOff>
    </xdr:from>
    <xdr:to>
      <xdr:col>13</xdr:col>
      <xdr:colOff>920750</xdr:colOff>
      <xdr:row>286</xdr:row>
      <xdr:rowOff>114300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22DF35EA-BAF1-C74C-87BB-79B1592B7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95"/>
  <sheetViews>
    <sheetView tabSelected="1" topLeftCell="A256" workbookViewId="0">
      <selection activeCell="H268" sqref="H268"/>
    </sheetView>
  </sheetViews>
  <sheetFormatPr defaultColWidth="10.875" defaultRowHeight="15.95"/>
  <cols>
    <col min="1" max="2" width="11.5" style="7" customWidth="1"/>
    <col min="3" max="9" width="17.625" style="7" bestFit="1" customWidth="1"/>
    <col min="10" max="10" width="17.625" style="7" customWidth="1"/>
    <col min="11" max="11" width="15" style="7" customWidth="1"/>
    <col min="12" max="12" width="10.875" style="7" customWidth="1"/>
    <col min="13" max="13" width="15.375" style="7" customWidth="1"/>
    <col min="14" max="14" width="13.125" style="7" customWidth="1"/>
    <col min="15" max="15" width="15.375" style="7" customWidth="1"/>
    <col min="16" max="16" width="15.875" style="7" customWidth="1"/>
    <col min="17" max="17" width="15.375" style="7" customWidth="1"/>
    <col min="18" max="20" width="10.875" style="7" customWidth="1"/>
    <col min="21" max="21" width="12" style="7" customWidth="1"/>
    <col min="22" max="27" width="15" style="7" customWidth="1"/>
    <col min="28" max="28" width="11.5" style="7" customWidth="1"/>
    <col min="29" max="63" width="10.875" style="7" customWidth="1"/>
    <col min="64" max="16384" width="10.875" style="7"/>
  </cols>
  <sheetData>
    <row r="1" spans="1:21">
      <c r="A1" s="4" t="s">
        <v>0</v>
      </c>
      <c r="B1" s="5"/>
      <c r="C1" s="5"/>
      <c r="D1" s="5"/>
      <c r="E1" s="5"/>
      <c r="F1" s="6"/>
      <c r="G1" s="4" t="s">
        <v>1</v>
      </c>
      <c r="H1" s="5"/>
      <c r="I1" s="5"/>
      <c r="J1" s="6"/>
      <c r="M1" s="13" t="s">
        <v>2</v>
      </c>
      <c r="N1" s="14"/>
      <c r="O1" s="14"/>
      <c r="P1" s="79" t="s">
        <v>3</v>
      </c>
      <c r="Q1" s="80" t="s">
        <v>4</v>
      </c>
      <c r="R1" s="80" t="s">
        <v>5</v>
      </c>
      <c r="S1" s="80" t="s">
        <v>6</v>
      </c>
      <c r="T1" s="81" t="s">
        <v>7</v>
      </c>
    </row>
    <row r="2" spans="1:21">
      <c r="A2" s="8"/>
      <c r="F2" s="9"/>
      <c r="G2" s="73"/>
      <c r="H2" s="74"/>
      <c r="I2" s="74"/>
      <c r="J2" s="75"/>
      <c r="P2" s="25"/>
      <c r="Q2" s="19"/>
      <c r="R2" s="52"/>
      <c r="S2" s="52"/>
      <c r="T2" s="69"/>
    </row>
    <row r="3" spans="1:21">
      <c r="A3" s="8" t="s">
        <v>8</v>
      </c>
      <c r="C3" s="7" t="s">
        <v>9</v>
      </c>
      <c r="F3" s="9"/>
      <c r="G3" s="73"/>
      <c r="H3" s="74"/>
      <c r="I3" s="74"/>
      <c r="J3" s="75"/>
      <c r="M3" s="7" t="s">
        <v>10</v>
      </c>
      <c r="P3" s="25"/>
      <c r="Q3" s="19"/>
      <c r="R3" s="52"/>
      <c r="S3" s="52"/>
      <c r="T3" s="69"/>
    </row>
    <row r="4" spans="1:21">
      <c r="A4" s="8" t="s">
        <v>11</v>
      </c>
      <c r="C4" s="63"/>
      <c r="F4" s="9"/>
      <c r="G4" s="73"/>
      <c r="H4" s="74"/>
      <c r="I4" s="74"/>
      <c r="J4" s="75"/>
      <c r="M4" s="7" t="s">
        <v>12</v>
      </c>
      <c r="P4" s="25"/>
      <c r="Q4" s="19"/>
      <c r="R4" s="52"/>
      <c r="S4" s="52"/>
      <c r="T4" s="69"/>
    </row>
    <row r="5" spans="1:21">
      <c r="A5" s="8" t="s">
        <v>13</v>
      </c>
      <c r="E5" s="7" t="s">
        <v>14</v>
      </c>
      <c r="F5" s="59">
        <f>C111</f>
        <v>0</v>
      </c>
      <c r="G5" s="73"/>
      <c r="H5" s="74"/>
      <c r="I5" s="74"/>
      <c r="J5" s="75"/>
      <c r="M5" s="7" t="s">
        <v>15</v>
      </c>
      <c r="P5" s="25"/>
      <c r="Q5" s="19"/>
      <c r="R5" s="52"/>
      <c r="S5" s="52"/>
      <c r="T5" s="69"/>
    </row>
    <row r="6" spans="1:21" ht="17.100000000000001" thickBot="1">
      <c r="A6" s="8" t="s">
        <v>16</v>
      </c>
      <c r="C6" s="49"/>
      <c r="E6" s="7" t="s">
        <v>17</v>
      </c>
      <c r="F6" s="59"/>
      <c r="G6" s="76"/>
      <c r="H6" s="77"/>
      <c r="I6" s="77"/>
      <c r="J6" s="78"/>
      <c r="P6" s="25"/>
      <c r="Q6" s="19"/>
      <c r="R6" s="52"/>
      <c r="S6" s="52"/>
      <c r="T6" s="69"/>
    </row>
    <row r="7" spans="1:21" ht="15.95" customHeight="1">
      <c r="A7" s="8" t="s">
        <v>18</v>
      </c>
      <c r="C7" s="57"/>
      <c r="D7" s="10"/>
      <c r="E7" s="7" t="s">
        <v>19</v>
      </c>
      <c r="F7" s="2"/>
      <c r="G7" s="64" t="s">
        <v>20</v>
      </c>
      <c r="H7" s="5"/>
      <c r="I7" s="5" t="s">
        <v>21</v>
      </c>
      <c r="J7" s="60"/>
      <c r="M7" s="7" t="s">
        <v>22</v>
      </c>
      <c r="P7" s="25"/>
      <c r="Q7" s="19"/>
      <c r="R7" s="52"/>
      <c r="S7" s="52"/>
      <c r="T7" s="69"/>
    </row>
    <row r="8" spans="1:21">
      <c r="A8" s="8" t="s">
        <v>23</v>
      </c>
      <c r="C8" s="57"/>
      <c r="E8" s="7" t="s">
        <v>24</v>
      </c>
      <c r="F8" s="2" t="e">
        <f>C48/C8</f>
        <v>#DIV/0!</v>
      </c>
      <c r="G8" s="65" t="s">
        <v>20</v>
      </c>
      <c r="I8" s="7" t="s">
        <v>25</v>
      </c>
      <c r="J8" s="61"/>
      <c r="P8" s="25"/>
      <c r="Q8" s="19"/>
      <c r="R8" s="52"/>
      <c r="S8" s="52"/>
      <c r="T8" s="69"/>
    </row>
    <row r="9" spans="1:21" ht="15.95" customHeight="1">
      <c r="A9" s="8" t="s">
        <v>26</v>
      </c>
      <c r="C9" s="57"/>
      <c r="E9" s="7" t="s">
        <v>27</v>
      </c>
      <c r="F9" s="57"/>
      <c r="G9" s="8" t="s">
        <v>28</v>
      </c>
      <c r="H9" s="19"/>
      <c r="I9" s="7" t="s">
        <v>29</v>
      </c>
      <c r="J9" s="61"/>
      <c r="M9" s="36"/>
      <c r="N9" s="37"/>
      <c r="O9" s="38"/>
      <c r="P9" s="25"/>
      <c r="Q9" s="19"/>
      <c r="R9" s="52"/>
      <c r="S9" s="52"/>
      <c r="T9" s="69"/>
    </row>
    <row r="10" spans="1:21" ht="17.100000000000001" thickBot="1">
      <c r="A10" s="8" t="s">
        <v>30</v>
      </c>
      <c r="C10" s="57"/>
      <c r="E10" s="7" t="s">
        <v>31</v>
      </c>
      <c r="F10" s="57"/>
      <c r="G10" s="8" t="s">
        <v>32</v>
      </c>
      <c r="H10" s="19"/>
      <c r="I10" s="7" t="s">
        <v>33</v>
      </c>
      <c r="J10" s="61"/>
      <c r="M10" s="39" t="s">
        <v>6</v>
      </c>
      <c r="N10" s="26" t="s">
        <v>5</v>
      </c>
      <c r="O10" s="40" t="s">
        <v>34</v>
      </c>
      <c r="P10" s="25"/>
      <c r="Q10" s="19"/>
      <c r="R10" s="52"/>
      <c r="S10" s="52"/>
      <c r="T10" s="69"/>
    </row>
    <row r="11" spans="1:21">
      <c r="A11" s="8"/>
      <c r="E11" s="7" t="s">
        <v>35</v>
      </c>
      <c r="F11" s="57"/>
      <c r="G11" s="8"/>
      <c r="I11" s="7" t="s">
        <v>36</v>
      </c>
      <c r="J11" s="61"/>
      <c r="M11" s="27"/>
      <c r="N11" s="41"/>
      <c r="O11" s="51"/>
      <c r="P11" s="25"/>
      <c r="Q11" s="19"/>
      <c r="R11" s="52"/>
      <c r="S11" s="52"/>
      <c r="T11" s="69"/>
    </row>
    <row r="12" spans="1:21" ht="15.95" customHeight="1" thickBot="1">
      <c r="A12" s="11"/>
      <c r="B12" s="12"/>
      <c r="C12" s="12"/>
      <c r="D12" s="12"/>
      <c r="E12" s="12"/>
      <c r="F12" s="12"/>
      <c r="G12" s="11"/>
      <c r="H12" s="12"/>
      <c r="I12" s="12" t="s">
        <v>37</v>
      </c>
      <c r="J12" s="62"/>
      <c r="M12" s="27"/>
      <c r="N12" s="41"/>
      <c r="O12" s="51"/>
      <c r="P12" s="28"/>
      <c r="Q12" s="19"/>
      <c r="R12" s="19"/>
      <c r="S12" s="19"/>
      <c r="T12" s="70"/>
    </row>
    <row r="13" spans="1:21">
      <c r="M13" s="28"/>
      <c r="N13" s="19"/>
      <c r="O13" s="20"/>
      <c r="P13" s="28"/>
      <c r="Q13" s="19"/>
      <c r="R13" s="19"/>
      <c r="S13" s="19"/>
      <c r="T13" s="19"/>
      <c r="U13" s="53"/>
    </row>
    <row r="14" spans="1:21">
      <c r="M14" s="28"/>
      <c r="N14" s="19"/>
      <c r="O14" s="20"/>
      <c r="P14" s="28"/>
      <c r="Q14" s="19"/>
      <c r="R14" s="19"/>
      <c r="S14" s="19"/>
      <c r="T14" s="19"/>
      <c r="U14" s="20"/>
    </row>
    <row r="15" spans="1:21">
      <c r="A15" s="14" t="s">
        <v>38</v>
      </c>
      <c r="C15" s="3"/>
      <c r="D15" s="3"/>
      <c r="E15" s="3"/>
      <c r="F15" s="3"/>
      <c r="G15" s="3"/>
      <c r="H15" s="3"/>
      <c r="I15" s="3"/>
      <c r="J15" s="3"/>
      <c r="M15" s="29"/>
      <c r="N15" s="23"/>
      <c r="O15" s="24"/>
      <c r="P15" s="28"/>
      <c r="Q15" s="19"/>
      <c r="R15" s="19"/>
      <c r="S15" s="19"/>
      <c r="T15" s="19"/>
      <c r="U15" s="20"/>
    </row>
    <row r="16" spans="1:21">
      <c r="A16" s="7" t="s">
        <v>39</v>
      </c>
      <c r="C16" s="35"/>
      <c r="D16" s="35"/>
      <c r="E16" s="35"/>
      <c r="F16" s="35"/>
      <c r="G16" s="35"/>
      <c r="H16" s="35"/>
      <c r="I16" s="35"/>
      <c r="J16" s="35"/>
      <c r="K16" s="7" t="s">
        <v>40</v>
      </c>
      <c r="P16" s="28"/>
      <c r="Q16" s="19"/>
      <c r="R16" s="19"/>
      <c r="S16" s="19"/>
      <c r="T16" s="19"/>
      <c r="U16" s="20"/>
    </row>
    <row r="17" spans="1:24">
      <c r="A17" s="7" t="s">
        <v>41</v>
      </c>
      <c r="C17" s="34" t="e">
        <f>C16/D16</f>
        <v>#DIV/0!</v>
      </c>
      <c r="D17" s="34" t="e">
        <f t="shared" ref="D17:I17" si="0">D16/E16</f>
        <v>#DIV/0!</v>
      </c>
      <c r="E17" s="34" t="e">
        <f t="shared" si="0"/>
        <v>#DIV/0!</v>
      </c>
      <c r="F17" s="34" t="e">
        <f t="shared" si="0"/>
        <v>#DIV/0!</v>
      </c>
      <c r="G17" s="34" t="e">
        <f t="shared" si="0"/>
        <v>#DIV/0!</v>
      </c>
      <c r="H17" s="34" t="e">
        <f t="shared" si="0"/>
        <v>#DIV/0!</v>
      </c>
      <c r="I17" s="34" t="e">
        <f t="shared" si="0"/>
        <v>#DIV/0!</v>
      </c>
      <c r="J17" s="43"/>
      <c r="P17" s="28"/>
      <c r="Q17" s="19"/>
      <c r="R17" s="19"/>
      <c r="S17" s="19"/>
      <c r="T17" s="19"/>
      <c r="U17" s="20"/>
    </row>
    <row r="18" spans="1:24">
      <c r="A18" s="7" t="s">
        <v>42</v>
      </c>
      <c r="C18" s="35"/>
      <c r="D18" s="35"/>
      <c r="E18" s="35"/>
      <c r="F18" s="35"/>
      <c r="G18" s="35"/>
      <c r="H18" s="35"/>
      <c r="I18" s="35"/>
      <c r="J18" s="35"/>
      <c r="K18" s="7" t="s">
        <v>40</v>
      </c>
      <c r="P18" s="28"/>
      <c r="Q18" s="19"/>
      <c r="R18" s="19"/>
      <c r="S18" s="19"/>
      <c r="T18" s="19"/>
      <c r="U18" s="20"/>
    </row>
    <row r="19" spans="1:24">
      <c r="A19" s="7" t="s">
        <v>43</v>
      </c>
      <c r="C19" s="35"/>
      <c r="D19" s="35"/>
      <c r="E19" s="35"/>
      <c r="F19" s="35"/>
      <c r="G19" s="35"/>
      <c r="H19" s="35"/>
      <c r="I19" s="35"/>
      <c r="J19" s="35"/>
      <c r="P19" s="28"/>
      <c r="Q19" s="19"/>
      <c r="R19" s="19"/>
      <c r="S19" s="19"/>
      <c r="T19" s="19"/>
      <c r="U19" s="20"/>
    </row>
    <row r="20" spans="1:24">
      <c r="A20" s="7" t="s">
        <v>44</v>
      </c>
      <c r="C20" s="34" t="e">
        <f>C19/C16</f>
        <v>#DIV/0!</v>
      </c>
      <c r="D20" s="34" t="e">
        <f t="shared" ref="D20:J20" si="1">D19/D16</f>
        <v>#DIV/0!</v>
      </c>
      <c r="E20" s="34" t="e">
        <f t="shared" si="1"/>
        <v>#DIV/0!</v>
      </c>
      <c r="F20" s="34" t="e">
        <f t="shared" si="1"/>
        <v>#DIV/0!</v>
      </c>
      <c r="G20" s="34" t="e">
        <f t="shared" si="1"/>
        <v>#DIV/0!</v>
      </c>
      <c r="H20" s="34" t="e">
        <f t="shared" si="1"/>
        <v>#DIV/0!</v>
      </c>
      <c r="I20" s="34" t="e">
        <f t="shared" si="1"/>
        <v>#DIV/0!</v>
      </c>
      <c r="J20" s="34" t="e">
        <f t="shared" si="1"/>
        <v>#DIV/0!</v>
      </c>
      <c r="P20" s="28"/>
      <c r="Q20" s="19"/>
      <c r="R20" s="19"/>
      <c r="S20" s="19"/>
      <c r="T20" s="19"/>
      <c r="U20" s="20"/>
    </row>
    <row r="21" spans="1:24">
      <c r="P21" s="28"/>
      <c r="Q21" s="19"/>
      <c r="R21" s="19"/>
      <c r="S21" s="19"/>
      <c r="T21" s="19"/>
      <c r="U21" s="20"/>
    </row>
    <row r="22" spans="1:24">
      <c r="A22" s="7" t="s">
        <v>45</v>
      </c>
      <c r="C22" s="35"/>
      <c r="D22" s="35"/>
      <c r="E22" s="35"/>
      <c r="F22" s="35"/>
      <c r="G22" s="35"/>
      <c r="H22" s="35"/>
      <c r="I22" s="35"/>
      <c r="J22" s="35"/>
      <c r="P22" s="28"/>
      <c r="Q22" s="19"/>
      <c r="R22" s="19"/>
      <c r="S22" s="19"/>
      <c r="T22" s="19"/>
      <c r="U22" s="20"/>
    </row>
    <row r="23" spans="1:24">
      <c r="A23" s="7" t="s">
        <v>46</v>
      </c>
      <c r="C23" s="34" t="e">
        <f>C22/C19</f>
        <v>#DIV/0!</v>
      </c>
      <c r="D23" s="34" t="e">
        <f t="shared" ref="D23:J23" si="2">D22/D19</f>
        <v>#DIV/0!</v>
      </c>
      <c r="E23" s="34" t="e">
        <f t="shared" si="2"/>
        <v>#DIV/0!</v>
      </c>
      <c r="F23" s="34" t="e">
        <f t="shared" si="2"/>
        <v>#DIV/0!</v>
      </c>
      <c r="G23" s="34" t="e">
        <f t="shared" si="2"/>
        <v>#DIV/0!</v>
      </c>
      <c r="H23" s="34" t="e">
        <f t="shared" si="2"/>
        <v>#DIV/0!</v>
      </c>
      <c r="I23" s="34" t="e">
        <f t="shared" si="2"/>
        <v>#DIV/0!</v>
      </c>
      <c r="J23" s="34" t="e">
        <f t="shared" si="2"/>
        <v>#DIV/0!</v>
      </c>
      <c r="P23" s="28"/>
      <c r="Q23" s="19"/>
      <c r="R23" s="19"/>
      <c r="S23" s="19"/>
      <c r="T23" s="19"/>
      <c r="U23" s="20"/>
    </row>
    <row r="24" spans="1:24" ht="15.95" customHeight="1">
      <c r="A24" s="7" t="s">
        <v>47</v>
      </c>
      <c r="C24" s="35"/>
      <c r="D24" s="35"/>
      <c r="E24" s="35"/>
      <c r="F24" s="35"/>
      <c r="G24" s="35"/>
      <c r="H24" s="35"/>
      <c r="I24" s="35"/>
      <c r="J24" s="35"/>
      <c r="P24" s="28"/>
      <c r="Q24" s="19"/>
      <c r="R24" s="19"/>
      <c r="S24" s="19"/>
      <c r="T24" s="19"/>
      <c r="U24" s="20"/>
    </row>
    <row r="25" spans="1:24">
      <c r="A25" s="7" t="s">
        <v>48</v>
      </c>
      <c r="C25" s="34" t="e">
        <f>C24/C19</f>
        <v>#DIV/0!</v>
      </c>
      <c r="D25" s="34" t="e">
        <f t="shared" ref="D25:J25" si="3">D24/D19</f>
        <v>#DIV/0!</v>
      </c>
      <c r="E25" s="34" t="e">
        <f t="shared" si="3"/>
        <v>#DIV/0!</v>
      </c>
      <c r="F25" s="34" t="e">
        <f t="shared" si="3"/>
        <v>#DIV/0!</v>
      </c>
      <c r="G25" s="34" t="e">
        <f t="shared" si="3"/>
        <v>#DIV/0!</v>
      </c>
      <c r="H25" s="34" t="e">
        <f t="shared" si="3"/>
        <v>#DIV/0!</v>
      </c>
      <c r="I25" s="34" t="e">
        <f t="shared" si="3"/>
        <v>#DIV/0!</v>
      </c>
      <c r="J25" s="34" t="e">
        <f t="shared" si="3"/>
        <v>#DIV/0!</v>
      </c>
      <c r="P25" s="28"/>
      <c r="Q25" s="19"/>
      <c r="R25" s="19"/>
      <c r="S25" s="19"/>
      <c r="T25" s="19"/>
      <c r="U25" s="20"/>
    </row>
    <row r="26" spans="1:24">
      <c r="A26" s="7" t="s">
        <v>49</v>
      </c>
      <c r="C26" s="35"/>
      <c r="D26" s="35"/>
      <c r="E26" s="35"/>
      <c r="F26" s="35"/>
      <c r="G26" s="35"/>
      <c r="H26" s="35"/>
      <c r="I26" s="35"/>
      <c r="J26" s="35"/>
      <c r="P26" s="28"/>
      <c r="Q26" s="19"/>
      <c r="R26" s="19"/>
      <c r="S26" s="19"/>
      <c r="T26" s="19"/>
      <c r="U26" s="20"/>
    </row>
    <row r="27" spans="1:24">
      <c r="A27" s="7" t="s">
        <v>50</v>
      </c>
      <c r="C27" s="34" t="e">
        <f>C26/C19</f>
        <v>#DIV/0!</v>
      </c>
      <c r="D27" s="34" t="e">
        <f t="shared" ref="D27:J27" si="4">D26/D19</f>
        <v>#DIV/0!</v>
      </c>
      <c r="E27" s="34" t="e">
        <f t="shared" si="4"/>
        <v>#DIV/0!</v>
      </c>
      <c r="F27" s="34" t="e">
        <f t="shared" si="4"/>
        <v>#DIV/0!</v>
      </c>
      <c r="G27" s="34" t="e">
        <f t="shared" si="4"/>
        <v>#DIV/0!</v>
      </c>
      <c r="H27" s="34" t="e">
        <f t="shared" si="4"/>
        <v>#DIV/0!</v>
      </c>
      <c r="I27" s="34" t="e">
        <f t="shared" si="4"/>
        <v>#DIV/0!</v>
      </c>
      <c r="J27" s="34" t="e">
        <f t="shared" si="4"/>
        <v>#DIV/0!</v>
      </c>
      <c r="P27" s="28"/>
      <c r="Q27" s="19"/>
      <c r="R27" s="19"/>
      <c r="S27" s="19"/>
      <c r="T27" s="19"/>
      <c r="U27" s="20"/>
    </row>
    <row r="28" spans="1:24">
      <c r="A28" s="7" t="s">
        <v>51</v>
      </c>
      <c r="C28" s="35"/>
      <c r="D28" s="35"/>
      <c r="E28" s="35"/>
      <c r="F28" s="35"/>
      <c r="G28" s="35"/>
      <c r="H28" s="35"/>
      <c r="I28" s="35"/>
      <c r="J28" s="35"/>
      <c r="P28" s="29"/>
      <c r="Q28" s="23"/>
      <c r="R28" s="23"/>
      <c r="S28" s="23"/>
      <c r="T28" s="23"/>
      <c r="U28" s="24"/>
    </row>
    <row r="29" spans="1:24">
      <c r="A29" s="7" t="s">
        <v>52</v>
      </c>
      <c r="C29" s="34" t="e">
        <f t="shared" ref="C29" si="5">C28/C16</f>
        <v>#DIV/0!</v>
      </c>
      <c r="D29" s="34" t="e">
        <f t="shared" ref="D29" si="6">D28/D16</f>
        <v>#DIV/0!</v>
      </c>
      <c r="E29" s="34" t="e">
        <f t="shared" ref="E29" si="7">E28/E16</f>
        <v>#DIV/0!</v>
      </c>
      <c r="F29" s="34" t="e">
        <f t="shared" ref="F29" si="8">F28/F16</f>
        <v>#DIV/0!</v>
      </c>
      <c r="G29" s="34" t="e">
        <f t="shared" ref="G29" si="9">G28/G16</f>
        <v>#DIV/0!</v>
      </c>
      <c r="H29" s="34" t="e">
        <f t="shared" ref="H29" si="10">H28/H16</f>
        <v>#DIV/0!</v>
      </c>
      <c r="I29" s="34" t="e">
        <f t="shared" ref="I29" si="11">I28/I16</f>
        <v>#DIV/0!</v>
      </c>
      <c r="J29" s="34" t="e">
        <f t="shared" ref="J29" si="12">J28/J16</f>
        <v>#DIV/0!</v>
      </c>
    </row>
    <row r="31" spans="1:24">
      <c r="A31" s="7" t="s">
        <v>53</v>
      </c>
      <c r="C31" s="35"/>
      <c r="D31" s="35"/>
      <c r="E31" s="35"/>
      <c r="F31" s="35"/>
      <c r="G31" s="35"/>
      <c r="H31" s="35"/>
      <c r="I31" s="35"/>
      <c r="J31" s="35"/>
    </row>
    <row r="32" spans="1:24">
      <c r="A32" s="7" t="s">
        <v>54</v>
      </c>
      <c r="C32" s="35"/>
      <c r="D32" s="35"/>
      <c r="E32" s="35"/>
      <c r="F32" s="35"/>
      <c r="G32" s="35"/>
      <c r="H32" s="35"/>
      <c r="I32" s="35"/>
      <c r="J32" s="35"/>
      <c r="L32" s="82" t="s">
        <v>55</v>
      </c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53"/>
    </row>
    <row r="33" spans="1:24">
      <c r="L33" s="18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20"/>
    </row>
    <row r="34" spans="1:24">
      <c r="A34" s="7" t="s">
        <v>56</v>
      </c>
      <c r="C34" s="35">
        <f>C35+C36+C37</f>
        <v>0</v>
      </c>
      <c r="D34" s="35">
        <f t="shared" ref="D34:J34" si="13">D35+D36+D37</f>
        <v>0</v>
      </c>
      <c r="E34" s="35">
        <f t="shared" si="13"/>
        <v>0</v>
      </c>
      <c r="F34" s="35">
        <f t="shared" si="13"/>
        <v>0</v>
      </c>
      <c r="G34" s="35">
        <f t="shared" si="13"/>
        <v>0</v>
      </c>
      <c r="H34" s="35">
        <f t="shared" si="13"/>
        <v>0</v>
      </c>
      <c r="I34" s="35">
        <f t="shared" si="13"/>
        <v>0</v>
      </c>
      <c r="J34" s="35">
        <f t="shared" si="13"/>
        <v>0</v>
      </c>
      <c r="L34" s="18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20"/>
    </row>
    <row r="35" spans="1:24">
      <c r="A35" s="7" t="s">
        <v>57</v>
      </c>
      <c r="C35" s="35"/>
      <c r="D35" s="35"/>
      <c r="E35" s="35"/>
      <c r="F35" s="35"/>
      <c r="G35" s="35"/>
      <c r="H35" s="35"/>
      <c r="I35" s="35"/>
      <c r="J35" s="35"/>
      <c r="L35" s="18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20"/>
    </row>
    <row r="36" spans="1:24">
      <c r="A36" s="7" t="s">
        <v>58</v>
      </c>
      <c r="C36" s="35"/>
      <c r="D36" s="35"/>
      <c r="E36" s="35"/>
      <c r="F36" s="35"/>
      <c r="G36" s="35"/>
      <c r="H36" s="35"/>
      <c r="I36" s="35"/>
      <c r="J36" s="35"/>
      <c r="L36" s="18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20"/>
    </row>
    <row r="37" spans="1:24">
      <c r="A37" s="7" t="s">
        <v>59</v>
      </c>
      <c r="C37" s="35"/>
      <c r="D37" s="35"/>
      <c r="E37" s="35"/>
      <c r="F37" s="35"/>
      <c r="G37" s="35"/>
      <c r="H37" s="35"/>
      <c r="I37" s="35"/>
      <c r="J37" s="35"/>
      <c r="L37" s="18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20"/>
    </row>
    <row r="38" spans="1:24">
      <c r="L38" s="18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20"/>
    </row>
    <row r="39" spans="1:24">
      <c r="A39" s="7" t="s">
        <v>60</v>
      </c>
      <c r="C39" s="35"/>
      <c r="D39" s="35"/>
      <c r="E39" s="35"/>
      <c r="F39" s="35"/>
      <c r="G39" s="35"/>
      <c r="H39" s="35"/>
      <c r="I39" s="35"/>
      <c r="J39" s="35"/>
      <c r="L39" s="18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20"/>
    </row>
    <row r="40" spans="1:24">
      <c r="L40" s="18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20"/>
    </row>
    <row r="41" spans="1:24">
      <c r="A41" s="7" t="s">
        <v>61</v>
      </c>
      <c r="C41" s="35"/>
      <c r="D41" s="35"/>
      <c r="E41" s="35"/>
      <c r="F41" s="35"/>
      <c r="G41" s="35"/>
      <c r="H41" s="35"/>
      <c r="I41" s="35"/>
      <c r="J41" s="35"/>
      <c r="K41" s="7" t="s">
        <v>62</v>
      </c>
      <c r="L41" s="18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20"/>
    </row>
    <row r="42" spans="1:24">
      <c r="A42" s="7" t="s">
        <v>63</v>
      </c>
      <c r="C42" s="34" t="e">
        <f t="shared" ref="C42:J42" si="14">C41/C16</f>
        <v>#DIV/0!</v>
      </c>
      <c r="D42" s="34" t="e">
        <f t="shared" si="14"/>
        <v>#DIV/0!</v>
      </c>
      <c r="E42" s="34" t="e">
        <f t="shared" si="14"/>
        <v>#DIV/0!</v>
      </c>
      <c r="F42" s="34" t="e">
        <f t="shared" si="14"/>
        <v>#DIV/0!</v>
      </c>
      <c r="G42" s="34" t="e">
        <f t="shared" si="14"/>
        <v>#DIV/0!</v>
      </c>
      <c r="H42" s="34" t="e">
        <f t="shared" si="14"/>
        <v>#DIV/0!</v>
      </c>
      <c r="I42" s="34" t="e">
        <f t="shared" si="14"/>
        <v>#DIV/0!</v>
      </c>
      <c r="J42" s="34" t="e">
        <f t="shared" si="14"/>
        <v>#DIV/0!</v>
      </c>
      <c r="L42" s="18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20"/>
    </row>
    <row r="43" spans="1:24">
      <c r="L43" s="18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20"/>
    </row>
    <row r="44" spans="1:24" ht="17.100000000000001" customHeight="1">
      <c r="A44" s="7" t="s">
        <v>64</v>
      </c>
      <c r="C44" s="35"/>
      <c r="D44" s="35"/>
      <c r="E44" s="35"/>
      <c r="F44" s="35"/>
      <c r="G44" s="35"/>
      <c r="H44" s="35"/>
      <c r="I44" s="35"/>
      <c r="J44" s="35"/>
      <c r="L44" s="18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20"/>
    </row>
    <row r="45" spans="1:24">
      <c r="L45" s="18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20"/>
    </row>
    <row r="46" spans="1:24">
      <c r="L46" s="18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20"/>
    </row>
    <row r="47" spans="1:24">
      <c r="A47" s="14" t="s">
        <v>65</v>
      </c>
      <c r="C47" s="3">
        <f t="shared" ref="C47:J47" si="15">C15</f>
        <v>0</v>
      </c>
      <c r="D47" s="3">
        <f t="shared" si="15"/>
        <v>0</v>
      </c>
      <c r="E47" s="3">
        <f t="shared" si="15"/>
        <v>0</v>
      </c>
      <c r="F47" s="3">
        <f t="shared" si="15"/>
        <v>0</v>
      </c>
      <c r="G47" s="3">
        <f t="shared" si="15"/>
        <v>0</v>
      </c>
      <c r="H47" s="3">
        <f t="shared" si="15"/>
        <v>0</v>
      </c>
      <c r="I47" s="3">
        <f t="shared" si="15"/>
        <v>0</v>
      </c>
      <c r="J47" s="3">
        <f t="shared" si="15"/>
        <v>0</v>
      </c>
      <c r="L47" s="18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20"/>
    </row>
    <row r="48" spans="1:24">
      <c r="A48" s="7" t="s">
        <v>66</v>
      </c>
      <c r="C48" s="46"/>
      <c r="D48" s="46"/>
      <c r="E48" s="46"/>
      <c r="F48" s="46"/>
      <c r="G48" s="46"/>
      <c r="H48" s="46"/>
      <c r="I48" s="46"/>
      <c r="J48" s="46"/>
      <c r="L48" s="18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20"/>
    </row>
    <row r="49" spans="1:37">
      <c r="A49" s="7" t="s">
        <v>67</v>
      </c>
      <c r="C49" s="46"/>
      <c r="D49" s="46"/>
      <c r="E49" s="46"/>
      <c r="F49" s="46"/>
      <c r="G49" s="46"/>
      <c r="H49" s="46"/>
      <c r="I49" s="46"/>
      <c r="J49" s="46"/>
      <c r="L49" s="18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20"/>
    </row>
    <row r="50" spans="1:37">
      <c r="A50" s="7" t="s">
        <v>68</v>
      </c>
      <c r="C50" s="46"/>
      <c r="D50" s="46"/>
      <c r="E50" s="46"/>
      <c r="F50" s="46"/>
      <c r="G50" s="46"/>
      <c r="H50" s="46"/>
      <c r="I50" s="46"/>
      <c r="J50" s="46"/>
      <c r="L50" s="18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20"/>
    </row>
    <row r="51" spans="1:37">
      <c r="A51" s="7" t="s">
        <v>69</v>
      </c>
      <c r="C51" s="35"/>
      <c r="D51" s="35"/>
      <c r="E51" s="35"/>
      <c r="F51" s="35"/>
      <c r="G51" s="35"/>
      <c r="H51" s="35"/>
      <c r="I51" s="35"/>
      <c r="J51" s="35"/>
      <c r="L51" s="18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20"/>
    </row>
    <row r="52" spans="1:37">
      <c r="A52" s="7" t="s">
        <v>70</v>
      </c>
      <c r="C52" s="35"/>
      <c r="D52" s="35"/>
      <c r="E52" s="35"/>
      <c r="F52" s="35"/>
      <c r="G52" s="35"/>
      <c r="H52" s="35"/>
      <c r="I52" s="35"/>
      <c r="J52" s="35"/>
      <c r="L52" s="18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20"/>
    </row>
    <row r="53" spans="1:37">
      <c r="A53" s="7" t="s">
        <v>71</v>
      </c>
      <c r="C53" s="35"/>
      <c r="D53" s="35"/>
      <c r="E53" s="35"/>
      <c r="F53" s="35"/>
      <c r="G53" s="35"/>
      <c r="H53" s="35"/>
      <c r="I53" s="35"/>
      <c r="J53" s="35"/>
      <c r="L53" s="18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20"/>
    </row>
    <row r="54" spans="1:37">
      <c r="A54" s="7" t="s">
        <v>72</v>
      </c>
      <c r="C54" s="35"/>
      <c r="D54" s="35"/>
      <c r="E54" s="35"/>
      <c r="F54" s="35"/>
      <c r="G54" s="35"/>
      <c r="H54" s="35"/>
      <c r="I54" s="35"/>
      <c r="J54" s="35"/>
      <c r="K54" s="15"/>
      <c r="L54" s="18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20"/>
    </row>
    <row r="55" spans="1:37" ht="18" customHeight="1">
      <c r="A55" s="7" t="s">
        <v>73</v>
      </c>
      <c r="C55" s="35"/>
      <c r="D55" s="35"/>
      <c r="E55" s="35"/>
      <c r="F55" s="35"/>
      <c r="G55" s="35"/>
      <c r="H55" s="35"/>
      <c r="I55" s="35"/>
      <c r="J55" s="35"/>
      <c r="L55" s="18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20"/>
      <c r="AK55" s="7" t="s">
        <v>74</v>
      </c>
    </row>
    <row r="56" spans="1:37">
      <c r="A56" s="7" t="s">
        <v>75</v>
      </c>
      <c r="C56" s="35"/>
      <c r="D56" s="35"/>
      <c r="E56" s="35"/>
      <c r="F56" s="35"/>
      <c r="G56" s="35"/>
      <c r="H56" s="35"/>
      <c r="I56" s="35"/>
      <c r="J56" s="35"/>
      <c r="L56" s="18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20"/>
    </row>
    <row r="57" spans="1:37">
      <c r="A57" s="7" t="s">
        <v>76</v>
      </c>
      <c r="C57" s="35"/>
      <c r="D57" s="35"/>
      <c r="E57" s="35"/>
      <c r="F57" s="35"/>
      <c r="G57" s="35"/>
      <c r="H57" s="35"/>
      <c r="I57" s="35"/>
      <c r="J57" s="35"/>
      <c r="L57" s="18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20"/>
    </row>
    <row r="58" spans="1:37">
      <c r="A58" s="7" t="s">
        <v>77</v>
      </c>
      <c r="C58" s="35"/>
      <c r="D58" s="35"/>
      <c r="E58" s="35"/>
      <c r="F58" s="35"/>
      <c r="G58" s="35"/>
      <c r="H58" s="35"/>
      <c r="I58" s="35"/>
      <c r="J58" s="35"/>
      <c r="L58" s="18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20"/>
    </row>
    <row r="59" spans="1:37">
      <c r="A59" s="7" t="s">
        <v>78</v>
      </c>
      <c r="C59" s="35"/>
      <c r="D59" s="35"/>
      <c r="E59" s="35"/>
      <c r="F59" s="35"/>
      <c r="G59" s="35"/>
      <c r="H59" s="35"/>
      <c r="I59" s="35"/>
      <c r="J59" s="35"/>
      <c r="L59" s="18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20"/>
    </row>
    <row r="60" spans="1:37">
      <c r="L60" s="18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20"/>
    </row>
    <row r="61" spans="1:37">
      <c r="A61" s="7" t="s">
        <v>79</v>
      </c>
      <c r="C61" s="35"/>
      <c r="D61" s="35"/>
      <c r="E61" s="35"/>
      <c r="F61" s="35"/>
      <c r="G61" s="35"/>
      <c r="H61" s="35"/>
      <c r="I61" s="35"/>
      <c r="J61" s="35"/>
      <c r="L61" s="18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20"/>
    </row>
    <row r="62" spans="1:37">
      <c r="A62" s="7" t="s">
        <v>80</v>
      </c>
      <c r="C62" s="35"/>
      <c r="D62" s="35"/>
      <c r="E62" s="35"/>
      <c r="F62" s="35"/>
      <c r="G62" s="35"/>
      <c r="H62" s="35"/>
      <c r="I62" s="35"/>
      <c r="J62" s="35"/>
      <c r="L62" s="18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20"/>
    </row>
    <row r="63" spans="1:37">
      <c r="A63" s="7" t="s">
        <v>81</v>
      </c>
      <c r="C63" s="35"/>
      <c r="D63" s="35"/>
      <c r="E63" s="35"/>
      <c r="F63" s="35"/>
      <c r="G63" s="35"/>
      <c r="H63" s="35"/>
      <c r="I63" s="35"/>
      <c r="J63" s="35"/>
      <c r="L63" s="18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20"/>
    </row>
    <row r="64" spans="1:37">
      <c r="L64" s="18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20"/>
    </row>
    <row r="65" spans="1:24">
      <c r="A65" s="7" t="s">
        <v>82</v>
      </c>
      <c r="C65" s="35"/>
      <c r="D65" s="35"/>
      <c r="E65" s="35"/>
      <c r="F65" s="35"/>
      <c r="G65" s="35"/>
      <c r="H65" s="35"/>
      <c r="I65" s="35"/>
      <c r="J65" s="35"/>
      <c r="L65" s="18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20"/>
    </row>
    <row r="66" spans="1:24">
      <c r="A66" s="7" t="s">
        <v>83</v>
      </c>
      <c r="C66" s="35"/>
      <c r="D66" s="35"/>
      <c r="E66" s="35"/>
      <c r="F66" s="35"/>
      <c r="G66" s="35"/>
      <c r="H66" s="35"/>
      <c r="I66" s="35"/>
      <c r="J66" s="35"/>
      <c r="L66" s="18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20"/>
    </row>
    <row r="67" spans="1:24">
      <c r="A67" s="42" t="s">
        <v>84</v>
      </c>
      <c r="B67" s="42"/>
      <c r="C67" s="35"/>
      <c r="D67" s="35"/>
      <c r="E67" s="35"/>
      <c r="F67" s="35"/>
      <c r="G67" s="35"/>
      <c r="H67" s="35"/>
      <c r="I67" s="35"/>
      <c r="J67" s="35"/>
      <c r="L67" s="18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20"/>
    </row>
    <row r="68" spans="1:24">
      <c r="A68" s="42" t="s">
        <v>85</v>
      </c>
      <c r="B68" s="42"/>
      <c r="C68" s="35"/>
      <c r="D68" s="35"/>
      <c r="E68" s="35"/>
      <c r="F68" s="35"/>
      <c r="G68" s="35"/>
      <c r="H68" s="35"/>
      <c r="I68" s="35"/>
      <c r="J68" s="35"/>
      <c r="L68" s="22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4"/>
    </row>
    <row r="70" spans="1:24">
      <c r="L70" s="82" t="s">
        <v>86</v>
      </c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53"/>
    </row>
    <row r="71" spans="1:24">
      <c r="A71" s="14" t="s">
        <v>87</v>
      </c>
      <c r="C71" s="3">
        <f t="shared" ref="C71:J71" si="16">C47</f>
        <v>0</v>
      </c>
      <c r="D71" s="3">
        <f t="shared" si="16"/>
        <v>0</v>
      </c>
      <c r="E71" s="3">
        <f t="shared" si="16"/>
        <v>0</v>
      </c>
      <c r="F71" s="3">
        <f t="shared" si="16"/>
        <v>0</v>
      </c>
      <c r="G71" s="3">
        <f t="shared" si="16"/>
        <v>0</v>
      </c>
      <c r="H71" s="3">
        <f t="shared" si="16"/>
        <v>0</v>
      </c>
      <c r="I71" s="3">
        <f t="shared" si="16"/>
        <v>0</v>
      </c>
      <c r="J71" s="3">
        <f t="shared" si="16"/>
        <v>0</v>
      </c>
      <c r="L71" s="18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20"/>
    </row>
    <row r="72" spans="1:24">
      <c r="A72" s="7" t="s">
        <v>88</v>
      </c>
      <c r="C72" s="35"/>
      <c r="D72" s="35"/>
      <c r="E72" s="35"/>
      <c r="F72" s="35"/>
      <c r="G72" s="35"/>
      <c r="H72" s="35"/>
      <c r="I72" s="35"/>
      <c r="J72" s="35"/>
      <c r="L72" s="18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20"/>
    </row>
    <row r="73" spans="1:24">
      <c r="A73" s="42" t="s">
        <v>89</v>
      </c>
      <c r="C73" s="35"/>
      <c r="D73" s="35"/>
      <c r="E73" s="35"/>
      <c r="F73" s="35"/>
      <c r="G73" s="35"/>
      <c r="H73" s="35"/>
      <c r="I73" s="35"/>
      <c r="J73" s="35"/>
      <c r="L73" s="18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20"/>
    </row>
    <row r="74" spans="1:24" ht="17.100000000000001" customHeight="1">
      <c r="A74" s="7" t="s">
        <v>90</v>
      </c>
      <c r="C74" s="35"/>
      <c r="D74" s="35"/>
      <c r="E74" s="35"/>
      <c r="F74" s="35"/>
      <c r="G74" s="35"/>
      <c r="H74" s="35"/>
      <c r="I74" s="35"/>
      <c r="J74" s="35"/>
      <c r="L74" s="18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20"/>
    </row>
    <row r="75" spans="1:24">
      <c r="A75" s="7" t="s">
        <v>91</v>
      </c>
      <c r="C75" s="35"/>
      <c r="D75" s="35"/>
      <c r="E75" s="35"/>
      <c r="F75" s="35"/>
      <c r="G75" s="35"/>
      <c r="H75" s="35"/>
      <c r="I75" s="35"/>
      <c r="J75" s="35"/>
      <c r="L75" s="18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20"/>
    </row>
    <row r="76" spans="1:24">
      <c r="A76" s="7" t="s">
        <v>92</v>
      </c>
      <c r="C76" s="35"/>
      <c r="D76" s="35"/>
      <c r="E76" s="35"/>
      <c r="F76" s="35"/>
      <c r="G76" s="35"/>
      <c r="H76" s="35"/>
      <c r="I76" s="35"/>
      <c r="J76" s="35"/>
      <c r="L76" s="18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20"/>
    </row>
    <row r="77" spans="1:24">
      <c r="L77" s="18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20"/>
    </row>
    <row r="78" spans="1:24">
      <c r="A78" s="7" t="s">
        <v>93</v>
      </c>
      <c r="C78" s="34" t="str">
        <f t="shared" ref="C78:J78" si="17">IF(ISERROR(C76/C16)," ",C76/C16)</f>
        <v xml:space="preserve"> </v>
      </c>
      <c r="D78" s="34" t="str">
        <f t="shared" si="17"/>
        <v xml:space="preserve"> </v>
      </c>
      <c r="E78" s="34" t="str">
        <f t="shared" si="17"/>
        <v xml:space="preserve"> </v>
      </c>
      <c r="F78" s="34" t="str">
        <f t="shared" si="17"/>
        <v xml:space="preserve"> </v>
      </c>
      <c r="G78" s="34" t="str">
        <f t="shared" si="17"/>
        <v xml:space="preserve"> </v>
      </c>
      <c r="H78" s="34" t="str">
        <f t="shared" si="17"/>
        <v xml:space="preserve"> </v>
      </c>
      <c r="I78" s="34" t="str">
        <f t="shared" si="17"/>
        <v xml:space="preserve"> </v>
      </c>
      <c r="J78" s="34" t="str">
        <f t="shared" si="17"/>
        <v xml:space="preserve"> </v>
      </c>
      <c r="L78" s="18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20"/>
    </row>
    <row r="79" spans="1:24">
      <c r="A79" s="7" t="s">
        <v>94</v>
      </c>
      <c r="C79" s="34" t="str">
        <f>IF(ISERROR(C76/C54)," ",C76/C54)</f>
        <v xml:space="preserve"> </v>
      </c>
      <c r="D79" s="34" t="str">
        <f t="shared" ref="D79:J79" si="18">IF(ISERROR(D76/D54)," ",D76/D54)</f>
        <v xml:space="preserve"> </v>
      </c>
      <c r="E79" s="34" t="str">
        <f t="shared" si="18"/>
        <v xml:space="preserve"> </v>
      </c>
      <c r="F79" s="34" t="str">
        <f t="shared" si="18"/>
        <v xml:space="preserve"> </v>
      </c>
      <c r="G79" s="34" t="str">
        <f t="shared" si="18"/>
        <v xml:space="preserve"> </v>
      </c>
      <c r="H79" s="34" t="str">
        <f t="shared" si="18"/>
        <v xml:space="preserve"> </v>
      </c>
      <c r="I79" s="34" t="str">
        <f t="shared" si="18"/>
        <v xml:space="preserve"> </v>
      </c>
      <c r="J79" s="34" t="str">
        <f t="shared" si="18"/>
        <v xml:space="preserve"> </v>
      </c>
      <c r="L79" s="18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20"/>
    </row>
    <row r="80" spans="1:24">
      <c r="A80" s="7" t="s">
        <v>95</v>
      </c>
      <c r="C80" s="34" t="str">
        <f>+IF(ISERROR(C76/C63)," ",C76/C63)</f>
        <v xml:space="preserve"> </v>
      </c>
      <c r="D80" s="34" t="str">
        <f t="shared" ref="D80:J80" si="19">+IF(ISERROR(D76/D63)," ",D76/D63)</f>
        <v xml:space="preserve"> </v>
      </c>
      <c r="E80" s="34" t="str">
        <f t="shared" si="19"/>
        <v xml:space="preserve"> </v>
      </c>
      <c r="F80" s="34" t="str">
        <f t="shared" si="19"/>
        <v xml:space="preserve"> </v>
      </c>
      <c r="G80" s="34" t="str">
        <f t="shared" si="19"/>
        <v xml:space="preserve"> </v>
      </c>
      <c r="H80" s="34" t="str">
        <f t="shared" si="19"/>
        <v xml:space="preserve"> </v>
      </c>
      <c r="I80" s="34" t="str">
        <f t="shared" si="19"/>
        <v xml:space="preserve"> </v>
      </c>
      <c r="J80" s="34" t="str">
        <f t="shared" si="19"/>
        <v xml:space="preserve"> </v>
      </c>
      <c r="L80" s="18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20"/>
    </row>
    <row r="81" spans="1:24">
      <c r="A81" s="7" t="s">
        <v>96</v>
      </c>
      <c r="C81" s="34" t="str">
        <f>+IF(ISERROR(C76/C44)," ",C76/C44)</f>
        <v xml:space="preserve"> </v>
      </c>
      <c r="D81" s="34" t="str">
        <f t="shared" ref="D81:J81" si="20">+IF(ISERROR(D76/D44)," ",D76/D44)</f>
        <v xml:space="preserve"> </v>
      </c>
      <c r="E81" s="34" t="str">
        <f t="shared" si="20"/>
        <v xml:space="preserve"> </v>
      </c>
      <c r="F81" s="34" t="str">
        <f t="shared" si="20"/>
        <v xml:space="preserve"> </v>
      </c>
      <c r="G81" s="34" t="str">
        <f t="shared" si="20"/>
        <v xml:space="preserve"> </v>
      </c>
      <c r="H81" s="34" t="str">
        <f t="shared" si="20"/>
        <v xml:space="preserve"> </v>
      </c>
      <c r="I81" s="34" t="str">
        <f t="shared" si="20"/>
        <v xml:space="preserve"> </v>
      </c>
      <c r="J81" s="34" t="str">
        <f t="shared" si="20"/>
        <v xml:space="preserve"> </v>
      </c>
      <c r="L81" s="18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20"/>
    </row>
    <row r="82" spans="1:24">
      <c r="A82" s="7" t="s">
        <v>97</v>
      </c>
      <c r="C82" s="34" t="str">
        <f>IF(ISERROR(C72/C56)," ",C72/C56)</f>
        <v xml:space="preserve"> </v>
      </c>
      <c r="D82" s="34" t="str">
        <f t="shared" ref="D82:J82" si="21">IF(ISERROR(D72/D56)," ",D72/D56)</f>
        <v xml:space="preserve"> </v>
      </c>
      <c r="E82" s="34" t="str">
        <f t="shared" si="21"/>
        <v xml:space="preserve"> </v>
      </c>
      <c r="F82" s="34" t="str">
        <f t="shared" si="21"/>
        <v xml:space="preserve"> </v>
      </c>
      <c r="G82" s="34" t="str">
        <f t="shared" si="21"/>
        <v xml:space="preserve"> </v>
      </c>
      <c r="H82" s="34" t="str">
        <f t="shared" si="21"/>
        <v xml:space="preserve"> </v>
      </c>
      <c r="I82" s="34" t="str">
        <f t="shared" si="21"/>
        <v xml:space="preserve"> </v>
      </c>
      <c r="J82" s="34" t="str">
        <f t="shared" si="21"/>
        <v xml:space="preserve"> </v>
      </c>
      <c r="L82" s="18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20"/>
    </row>
    <row r="83" spans="1:24" ht="17.100000000000001" customHeight="1">
      <c r="A83" s="7" t="s">
        <v>98</v>
      </c>
      <c r="C83" s="34" t="str">
        <f t="shared" ref="C83:J83" si="22">IF(ISERROR((C72-C44)/C56)," ",(C72-C44)/C56)</f>
        <v xml:space="preserve"> </v>
      </c>
      <c r="D83" s="34" t="str">
        <f t="shared" si="22"/>
        <v xml:space="preserve"> </v>
      </c>
      <c r="E83" s="34" t="str">
        <f t="shared" si="22"/>
        <v xml:space="preserve"> </v>
      </c>
      <c r="F83" s="34" t="str">
        <f t="shared" si="22"/>
        <v xml:space="preserve"> </v>
      </c>
      <c r="G83" s="34" t="str">
        <f t="shared" si="22"/>
        <v xml:space="preserve"> </v>
      </c>
      <c r="H83" s="34" t="str">
        <f t="shared" si="22"/>
        <v xml:space="preserve"> </v>
      </c>
      <c r="I83" s="34" t="str">
        <f t="shared" si="22"/>
        <v xml:space="preserve"> </v>
      </c>
      <c r="J83" s="34" t="str">
        <f t="shared" si="22"/>
        <v xml:space="preserve"> </v>
      </c>
      <c r="L83" s="18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20"/>
    </row>
    <row r="84" spans="1:24" ht="17.100000000000001" customHeight="1">
      <c r="A84" s="7" t="s">
        <v>99</v>
      </c>
      <c r="C84" s="34" t="str">
        <f t="shared" ref="C84:J84" si="23">IF(ISERROR((C72-C44)/C58)," ",(C72-C44)/C58)</f>
        <v xml:space="preserve"> </v>
      </c>
      <c r="D84" s="34" t="str">
        <f t="shared" si="23"/>
        <v xml:space="preserve"> </v>
      </c>
      <c r="E84" s="34" t="str">
        <f t="shared" si="23"/>
        <v xml:space="preserve"> </v>
      </c>
      <c r="F84" s="34" t="str">
        <f t="shared" si="23"/>
        <v xml:space="preserve"> </v>
      </c>
      <c r="G84" s="34" t="str">
        <f t="shared" si="23"/>
        <v xml:space="preserve"> </v>
      </c>
      <c r="H84" s="34" t="str">
        <f t="shared" si="23"/>
        <v xml:space="preserve"> </v>
      </c>
      <c r="I84" s="34" t="str">
        <f t="shared" si="23"/>
        <v xml:space="preserve"> </v>
      </c>
      <c r="J84" s="34" t="str">
        <f t="shared" si="23"/>
        <v xml:space="preserve"> </v>
      </c>
      <c r="L84" s="18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20"/>
    </row>
    <row r="85" spans="1:24">
      <c r="A85" s="7" t="s">
        <v>100</v>
      </c>
      <c r="C85" s="1" t="str">
        <f t="shared" ref="C85:J85" si="24">IF(ISERROR((C72+C34+C39)/C34)," ",(C72+C34+C39)/C34)</f>
        <v xml:space="preserve"> </v>
      </c>
      <c r="D85" s="1" t="str">
        <f t="shared" si="24"/>
        <v xml:space="preserve"> </v>
      </c>
      <c r="E85" s="1" t="str">
        <f t="shared" si="24"/>
        <v xml:space="preserve"> </v>
      </c>
      <c r="F85" s="1" t="str">
        <f t="shared" si="24"/>
        <v xml:space="preserve"> </v>
      </c>
      <c r="G85" s="1" t="str">
        <f t="shared" si="24"/>
        <v xml:space="preserve"> </v>
      </c>
      <c r="H85" s="1" t="str">
        <f t="shared" si="24"/>
        <v xml:space="preserve"> </v>
      </c>
      <c r="I85" s="1" t="str">
        <f t="shared" si="24"/>
        <v xml:space="preserve"> </v>
      </c>
      <c r="J85" s="1" t="str">
        <f t="shared" si="24"/>
        <v xml:space="preserve"> </v>
      </c>
      <c r="L85" s="18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20"/>
    </row>
    <row r="86" spans="1:24" ht="17.100000000000001" customHeight="1">
      <c r="A86" s="42" t="s">
        <v>101</v>
      </c>
      <c r="B86" s="42"/>
      <c r="C86" s="1" t="str">
        <f>IF(ISERROR(C72/(C72+C65+C66+C67+C68))," ",C72/(C72+C65+C66+C66+C68))</f>
        <v xml:space="preserve"> </v>
      </c>
      <c r="D86" s="1" t="str">
        <f t="shared" ref="D86:J86" si="25">IF(ISERROR(D72/(D72+D65+D66+D67+D68))," ",D72/(D72+D65+D66+D66+D68))</f>
        <v xml:space="preserve"> </v>
      </c>
      <c r="E86" s="1" t="str">
        <f t="shared" si="25"/>
        <v xml:space="preserve"> </v>
      </c>
      <c r="F86" s="1" t="str">
        <f t="shared" si="25"/>
        <v xml:space="preserve"> </v>
      </c>
      <c r="G86" s="1" t="str">
        <f t="shared" si="25"/>
        <v xml:space="preserve"> </v>
      </c>
      <c r="H86" s="1" t="str">
        <f t="shared" si="25"/>
        <v xml:space="preserve"> </v>
      </c>
      <c r="I86" s="1" t="str">
        <f t="shared" si="25"/>
        <v xml:space="preserve"> </v>
      </c>
      <c r="J86" s="1" t="str">
        <f t="shared" si="25"/>
        <v xml:space="preserve"> </v>
      </c>
      <c r="L86" s="18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20"/>
    </row>
    <row r="87" spans="1:24">
      <c r="A87" s="42" t="s">
        <v>102</v>
      </c>
      <c r="B87" s="42"/>
      <c r="C87" s="34" t="str">
        <f>IF(ISERROR(((C54-D54)-C76)/C54)," ",(((C54-D54)-C76)/C54))</f>
        <v xml:space="preserve"> </v>
      </c>
      <c r="D87" s="34" t="str">
        <f t="shared" ref="D87:I87" si="26">IF(ISERROR(((D54-E54)-D76)/D54)," ",(((D54-E54)-D76)/D54))</f>
        <v xml:space="preserve"> </v>
      </c>
      <c r="E87" s="34" t="str">
        <f t="shared" si="26"/>
        <v xml:space="preserve"> </v>
      </c>
      <c r="F87" s="34" t="str">
        <f t="shared" si="26"/>
        <v xml:space="preserve"> </v>
      </c>
      <c r="G87" s="34" t="str">
        <f t="shared" si="26"/>
        <v xml:space="preserve"> </v>
      </c>
      <c r="H87" s="34" t="str">
        <f t="shared" si="26"/>
        <v xml:space="preserve"> </v>
      </c>
      <c r="I87" s="34" t="str">
        <f t="shared" si="26"/>
        <v xml:space="preserve"> </v>
      </c>
      <c r="L87" s="18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20"/>
    </row>
    <row r="88" spans="1:24">
      <c r="L88" s="18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20"/>
    </row>
    <row r="89" spans="1:24">
      <c r="L89" s="18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20"/>
    </row>
    <row r="90" spans="1:24">
      <c r="C90" s="45">
        <f>C71</f>
        <v>0</v>
      </c>
      <c r="D90" s="45">
        <f t="shared" ref="D90:J90" si="27">D71</f>
        <v>0</v>
      </c>
      <c r="E90" s="45">
        <f t="shared" si="27"/>
        <v>0</v>
      </c>
      <c r="F90" s="45">
        <f t="shared" si="27"/>
        <v>0</v>
      </c>
      <c r="G90" s="45">
        <f t="shared" si="27"/>
        <v>0</v>
      </c>
      <c r="H90" s="45">
        <f t="shared" si="27"/>
        <v>0</v>
      </c>
      <c r="I90" s="45">
        <f t="shared" si="27"/>
        <v>0</v>
      </c>
      <c r="J90" s="45">
        <f t="shared" si="27"/>
        <v>0</v>
      </c>
      <c r="L90" s="18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20"/>
    </row>
    <row r="91" spans="1:24">
      <c r="A91" s="7" t="s">
        <v>103</v>
      </c>
      <c r="C91" s="1"/>
      <c r="D91" s="1"/>
      <c r="E91" s="1"/>
      <c r="F91" s="1"/>
      <c r="G91" s="1"/>
      <c r="H91" s="1"/>
      <c r="I91" s="1"/>
      <c r="J91" s="1"/>
      <c r="L91" s="18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20"/>
    </row>
    <row r="92" spans="1:24">
      <c r="A92" s="7" t="s">
        <v>104</v>
      </c>
      <c r="C92" s="1"/>
      <c r="D92" s="1"/>
      <c r="E92" s="1"/>
      <c r="F92" s="1"/>
      <c r="G92" s="1"/>
      <c r="H92" s="1"/>
      <c r="I92" s="1"/>
      <c r="J92" s="1"/>
      <c r="L92" s="18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20"/>
    </row>
    <row r="93" spans="1:24">
      <c r="A93" s="7" t="s">
        <v>105</v>
      </c>
      <c r="C93" s="1"/>
      <c r="D93" s="1"/>
      <c r="E93" s="1"/>
      <c r="F93" s="1"/>
      <c r="G93" s="1"/>
      <c r="H93" s="1"/>
      <c r="I93" s="1"/>
      <c r="J93" s="1"/>
      <c r="L93" s="18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20"/>
    </row>
    <row r="94" spans="1:24">
      <c r="A94" s="7" t="s">
        <v>106</v>
      </c>
      <c r="C94" s="34"/>
      <c r="D94" s="34"/>
      <c r="E94" s="34"/>
      <c r="F94" s="34"/>
      <c r="G94" s="34"/>
      <c r="H94" s="34"/>
      <c r="I94" s="34"/>
      <c r="J94" s="34"/>
      <c r="L94" s="18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20"/>
    </row>
    <row r="95" spans="1:24" ht="17.100000000000001" customHeight="1">
      <c r="A95" s="7" t="s">
        <v>107</v>
      </c>
      <c r="C95" s="34"/>
      <c r="D95" s="34"/>
      <c r="E95" s="34"/>
      <c r="F95" s="34"/>
      <c r="G95" s="34"/>
      <c r="H95" s="34"/>
      <c r="I95" s="34"/>
      <c r="J95" s="34"/>
      <c r="L95" s="18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20"/>
    </row>
    <row r="96" spans="1:24">
      <c r="A96" s="7" t="s">
        <v>108</v>
      </c>
      <c r="C96" s="1"/>
      <c r="D96" s="1"/>
      <c r="E96" s="1"/>
      <c r="F96" s="1"/>
      <c r="G96" s="1"/>
      <c r="H96" s="1"/>
      <c r="I96" s="1"/>
      <c r="J96" s="1"/>
      <c r="L96" s="18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20"/>
    </row>
    <row r="97" spans="1:28">
      <c r="A97" s="7" t="s">
        <v>109</v>
      </c>
      <c r="C97" s="1"/>
      <c r="D97" s="1"/>
      <c r="E97" s="1"/>
      <c r="F97" s="1"/>
      <c r="G97" s="1"/>
      <c r="H97" s="1"/>
      <c r="I97" s="1"/>
      <c r="J97" s="1"/>
      <c r="L97" s="18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20"/>
    </row>
    <row r="98" spans="1:28">
      <c r="A98" s="7" t="s">
        <v>110</v>
      </c>
      <c r="C98" s="44" t="str">
        <f t="shared" ref="C98:J98" si="28">IF(OR(ISBLANK(C44),ISBLANK(C62)),"",-C44/C62)</f>
        <v/>
      </c>
      <c r="D98" s="44" t="str">
        <f t="shared" si="28"/>
        <v/>
      </c>
      <c r="E98" s="44" t="str">
        <f t="shared" si="28"/>
        <v/>
      </c>
      <c r="F98" s="44" t="str">
        <f t="shared" si="28"/>
        <v/>
      </c>
      <c r="G98" s="44" t="str">
        <f t="shared" si="28"/>
        <v/>
      </c>
      <c r="H98" s="44" t="str">
        <f t="shared" si="28"/>
        <v/>
      </c>
      <c r="I98" s="44" t="str">
        <f t="shared" si="28"/>
        <v/>
      </c>
      <c r="J98" s="44" t="str">
        <f t="shared" si="28"/>
        <v/>
      </c>
      <c r="K98" s="7" t="s">
        <v>111</v>
      </c>
      <c r="L98" s="18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20"/>
    </row>
    <row r="99" spans="1:28">
      <c r="A99" s="7" t="s">
        <v>112</v>
      </c>
      <c r="C99" s="44" t="str">
        <f>IF(OR(ISBLANK(C51),ISBLANK(C56)),"",C51/C56)</f>
        <v/>
      </c>
      <c r="D99" s="44" t="str">
        <f t="shared" ref="D99:J99" si="29">IF(OR(ISBLANK(D51),ISBLANK(D56)),"",D51/D56)</f>
        <v/>
      </c>
      <c r="E99" s="44" t="str">
        <f t="shared" si="29"/>
        <v/>
      </c>
      <c r="F99" s="44" t="str">
        <f t="shared" si="29"/>
        <v/>
      </c>
      <c r="G99" s="44" t="str">
        <f t="shared" si="29"/>
        <v/>
      </c>
      <c r="H99" s="44" t="str">
        <f t="shared" si="29"/>
        <v/>
      </c>
      <c r="I99" s="44" t="str">
        <f t="shared" si="29"/>
        <v/>
      </c>
      <c r="J99" s="44" t="str">
        <f t="shared" si="29"/>
        <v/>
      </c>
      <c r="L99" s="18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20"/>
    </row>
    <row r="100" spans="1:28" ht="18.95" customHeight="1">
      <c r="A100" s="7" t="s">
        <v>113</v>
      </c>
      <c r="C100" s="44" t="str">
        <f>IF(OR(ISBLANK(C49),ISBLANK(C51),ISBLANK(C56)),"",(C51-C49)/C56)</f>
        <v/>
      </c>
      <c r="D100" s="44" t="str">
        <f t="shared" ref="D100:J100" si="30">IF(OR(ISBLANK(D49),ISBLANK(D51),ISBLANK(D56)),"",(D51-D49)/D56)</f>
        <v/>
      </c>
      <c r="E100" s="44" t="str">
        <f t="shared" si="30"/>
        <v/>
      </c>
      <c r="F100" s="44" t="str">
        <f t="shared" si="30"/>
        <v/>
      </c>
      <c r="G100" s="44" t="str">
        <f t="shared" si="30"/>
        <v/>
      </c>
      <c r="H100" s="44" t="str">
        <f t="shared" si="30"/>
        <v/>
      </c>
      <c r="I100" s="44" t="str">
        <f t="shared" si="30"/>
        <v/>
      </c>
      <c r="J100" s="44" t="str">
        <f t="shared" si="30"/>
        <v/>
      </c>
      <c r="L100" s="18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20"/>
    </row>
    <row r="101" spans="1:28">
      <c r="A101" s="7" t="s">
        <v>114</v>
      </c>
      <c r="C101" s="44" t="str">
        <f t="shared" ref="C101:J101" si="31">IF(ISERROR(C16/(C51-C56))," ",C16/(C51-C56))</f>
        <v xml:space="preserve"> </v>
      </c>
      <c r="D101" s="44" t="str">
        <f t="shared" si="31"/>
        <v xml:space="preserve"> </v>
      </c>
      <c r="E101" s="44" t="str">
        <f t="shared" si="31"/>
        <v xml:space="preserve"> </v>
      </c>
      <c r="F101" s="44" t="str">
        <f t="shared" si="31"/>
        <v xml:space="preserve"> </v>
      </c>
      <c r="G101" s="44" t="str">
        <f t="shared" si="31"/>
        <v xml:space="preserve"> </v>
      </c>
      <c r="H101" s="44" t="str">
        <f t="shared" si="31"/>
        <v xml:space="preserve"> </v>
      </c>
      <c r="I101" s="44" t="str">
        <f t="shared" si="31"/>
        <v xml:space="preserve"> </v>
      </c>
      <c r="J101" s="44" t="str">
        <f t="shared" si="31"/>
        <v xml:space="preserve"> </v>
      </c>
      <c r="L101" s="18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20"/>
    </row>
    <row r="102" spans="1:28">
      <c r="A102" s="7" t="s">
        <v>115</v>
      </c>
      <c r="C102" s="47" t="str">
        <f t="shared" ref="C102:J102" si="32">IF(OR(ISBLANK(C41),ISBLANK(C54),ISBLANK(C54)),"",C41/C54)</f>
        <v/>
      </c>
      <c r="D102" s="47" t="str">
        <f t="shared" si="32"/>
        <v/>
      </c>
      <c r="E102" s="47" t="str">
        <f t="shared" si="32"/>
        <v/>
      </c>
      <c r="F102" s="47" t="str">
        <f t="shared" si="32"/>
        <v/>
      </c>
      <c r="G102" s="47" t="str">
        <f t="shared" si="32"/>
        <v/>
      </c>
      <c r="H102" s="47" t="str">
        <f t="shared" si="32"/>
        <v/>
      </c>
      <c r="I102" s="47" t="str">
        <f t="shared" si="32"/>
        <v/>
      </c>
      <c r="J102" s="47" t="str">
        <f t="shared" si="32"/>
        <v/>
      </c>
      <c r="L102" s="18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20"/>
    </row>
    <row r="103" spans="1:28">
      <c r="A103" s="7" t="s">
        <v>116</v>
      </c>
      <c r="C103" s="47" t="str">
        <f t="shared" ref="C103:J103" si="33">IF(OR(ISBLANK(C41),ISBLANK(C63),ISBLANK(C63)),"",C41/C63)</f>
        <v/>
      </c>
      <c r="D103" s="47" t="str">
        <f t="shared" si="33"/>
        <v/>
      </c>
      <c r="E103" s="47" t="str">
        <f t="shared" si="33"/>
        <v/>
      </c>
      <c r="F103" s="47" t="str">
        <f t="shared" si="33"/>
        <v/>
      </c>
      <c r="G103" s="47" t="str">
        <f t="shared" si="33"/>
        <v/>
      </c>
      <c r="H103" s="47" t="str">
        <f t="shared" si="33"/>
        <v/>
      </c>
      <c r="I103" s="47" t="str">
        <f t="shared" si="33"/>
        <v/>
      </c>
      <c r="J103" s="47" t="str">
        <f t="shared" si="33"/>
        <v/>
      </c>
      <c r="L103" s="21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20"/>
    </row>
    <row r="104" spans="1:28">
      <c r="A104" s="7" t="s">
        <v>117</v>
      </c>
      <c r="C104" s="34" t="str">
        <f>IF(ISERROR(C56/C58)," ",C56/C58)</f>
        <v xml:space="preserve"> </v>
      </c>
      <c r="D104" s="34" t="str">
        <f t="shared" ref="D104:J104" si="34">IF(ISERROR(D56/D58)," ",D56/D58)</f>
        <v xml:space="preserve"> </v>
      </c>
      <c r="E104" s="34" t="str">
        <f t="shared" si="34"/>
        <v xml:space="preserve"> </v>
      </c>
      <c r="F104" s="34" t="str">
        <f t="shared" si="34"/>
        <v xml:space="preserve"> </v>
      </c>
      <c r="G104" s="34" t="str">
        <f t="shared" si="34"/>
        <v xml:space="preserve"> </v>
      </c>
      <c r="H104" s="34" t="str">
        <f t="shared" si="34"/>
        <v xml:space="preserve"> </v>
      </c>
      <c r="I104" s="34" t="str">
        <f t="shared" si="34"/>
        <v xml:space="preserve"> </v>
      </c>
      <c r="J104" s="34" t="str">
        <f t="shared" si="34"/>
        <v xml:space="preserve"> </v>
      </c>
      <c r="L104" s="18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20"/>
    </row>
    <row r="105" spans="1:28" ht="18.95" customHeight="1">
      <c r="A105" s="7" t="s">
        <v>118</v>
      </c>
      <c r="C105" s="55" t="str">
        <f>IF(OR(ISBLANK(C41),ISBLANK(C73)),"",C41/C73)</f>
        <v/>
      </c>
      <c r="D105" s="55" t="str">
        <f t="shared" ref="D105:J105" si="35">IF(OR(ISBLANK(D41),ISBLANK(D73)),"",D41/D73)</f>
        <v/>
      </c>
      <c r="E105" s="55" t="str">
        <f t="shared" si="35"/>
        <v/>
      </c>
      <c r="F105" s="55" t="str">
        <f t="shared" si="35"/>
        <v/>
      </c>
      <c r="G105" s="55" t="str">
        <f t="shared" si="35"/>
        <v/>
      </c>
      <c r="H105" s="55" t="str">
        <f t="shared" si="35"/>
        <v/>
      </c>
      <c r="I105" s="55" t="str">
        <f t="shared" si="35"/>
        <v/>
      </c>
      <c r="J105" s="55" t="str">
        <f t="shared" si="35"/>
        <v/>
      </c>
      <c r="L105" s="22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4"/>
    </row>
    <row r="106" spans="1:28" ht="18.95" customHeight="1">
      <c r="A106" s="7" t="s">
        <v>119</v>
      </c>
      <c r="C106" s="1"/>
      <c r="D106" s="1"/>
      <c r="E106" s="1"/>
      <c r="F106" s="1"/>
      <c r="G106" s="1"/>
      <c r="H106" s="1"/>
      <c r="I106" s="1"/>
      <c r="J106" s="1"/>
    </row>
    <row r="107" spans="1:28" ht="18.95" customHeight="1"/>
    <row r="108" spans="1:28" ht="18.95" customHeight="1"/>
    <row r="109" spans="1:28" ht="18.95" customHeight="1"/>
    <row r="110" spans="1:28" ht="17.100000000000001" thickBot="1">
      <c r="C110" s="16" t="s">
        <v>4</v>
      </c>
      <c r="D110" s="16" t="s">
        <v>120</v>
      </c>
      <c r="G110" s="14" t="s">
        <v>121</v>
      </c>
      <c r="I110" s="14" t="s">
        <v>122</v>
      </c>
      <c r="L110" s="14" t="s">
        <v>123</v>
      </c>
      <c r="U110" s="14" t="s">
        <v>124</v>
      </c>
    </row>
    <row r="111" spans="1:28" ht="17.100000000000001" thickBot="1">
      <c r="A111" s="14" t="s">
        <v>125</v>
      </c>
      <c r="C111" s="1"/>
      <c r="F111" s="16" t="s">
        <v>126</v>
      </c>
      <c r="G111" s="16" t="s">
        <v>127</v>
      </c>
      <c r="I111" s="16" t="s">
        <v>128</v>
      </c>
      <c r="L111" s="16" t="s">
        <v>119</v>
      </c>
      <c r="M111" s="16" t="s">
        <v>129</v>
      </c>
      <c r="N111" s="16" t="s">
        <v>3</v>
      </c>
      <c r="O111" s="16" t="s">
        <v>130</v>
      </c>
      <c r="P111" s="16" t="s">
        <v>131</v>
      </c>
      <c r="Q111" s="16" t="s">
        <v>132</v>
      </c>
      <c r="R111" s="16" t="s">
        <v>133</v>
      </c>
      <c r="U111" s="16" t="s">
        <v>3</v>
      </c>
      <c r="V111" s="16" t="s">
        <v>130</v>
      </c>
      <c r="W111" s="16" t="s">
        <v>134</v>
      </c>
      <c r="X111" s="16" t="s">
        <v>135</v>
      </c>
      <c r="Y111" s="16" t="s">
        <v>136</v>
      </c>
      <c r="Z111" s="16" t="s">
        <v>137</v>
      </c>
      <c r="AA111" s="16" t="s">
        <v>138</v>
      </c>
      <c r="AB111" s="16" t="s">
        <v>139</v>
      </c>
    </row>
    <row r="112" spans="1:28">
      <c r="A112" s="14" t="s">
        <v>140</v>
      </c>
      <c r="C112" s="1"/>
      <c r="D112" t="b">
        <f>IF($C$111&lt;$C112, "U50 SMA")</f>
        <v>0</v>
      </c>
      <c r="F112" s="7" t="s">
        <v>141</v>
      </c>
      <c r="G112" s="1"/>
      <c r="I112" s="68">
        <f>N112</f>
        <v>0</v>
      </c>
      <c r="K112" s="7">
        <v>0</v>
      </c>
      <c r="L112" s="1"/>
      <c r="M112" s="56"/>
      <c r="N112" s="48"/>
      <c r="O112" s="56"/>
      <c r="P112" s="56"/>
      <c r="Q112" s="56"/>
      <c r="R112" s="1"/>
      <c r="U112" s="48"/>
      <c r="V112" s="56"/>
      <c r="W112" s="58"/>
      <c r="X112" s="56"/>
      <c r="Y112" s="2"/>
      <c r="Z112" s="56"/>
      <c r="AA112" s="2"/>
      <c r="AB112" s="2"/>
    </row>
    <row r="113" spans="1:28">
      <c r="A113" s="14" t="s">
        <v>142</v>
      </c>
      <c r="C113" s="1"/>
      <c r="D113" t="b">
        <f>IF($C$111&lt;$C113, "U200 SMA")</f>
        <v>0</v>
      </c>
      <c r="F113" s="7" t="s">
        <v>143</v>
      </c>
      <c r="G113" s="1"/>
      <c r="I113" s="1" t="e">
        <f>AVERAGE(AA112:AA116)</f>
        <v>#DIV/0!</v>
      </c>
      <c r="J113" s="7" t="s">
        <v>144</v>
      </c>
      <c r="K113" s="7">
        <v>1</v>
      </c>
      <c r="L113" s="1"/>
      <c r="M113" s="56"/>
      <c r="N113" s="48"/>
      <c r="O113" s="56"/>
      <c r="P113" s="56"/>
      <c r="Q113" s="56"/>
      <c r="R113" s="1"/>
      <c r="U113" s="48"/>
      <c r="V113" s="56"/>
      <c r="W113" s="58"/>
      <c r="X113" s="56"/>
      <c r="Y113" s="2"/>
      <c r="Z113" s="56"/>
      <c r="AA113" s="2"/>
      <c r="AB113" s="2"/>
    </row>
    <row r="114" spans="1:28">
      <c r="A114" s="14"/>
      <c r="F114" s="7" t="s">
        <v>145</v>
      </c>
      <c r="G114" s="1"/>
      <c r="I114" s="1"/>
      <c r="J114" s="7" t="s">
        <v>146</v>
      </c>
      <c r="K114" s="7">
        <v>2</v>
      </c>
      <c r="L114" s="1"/>
      <c r="M114" s="56"/>
      <c r="N114" s="48"/>
      <c r="O114" s="56"/>
      <c r="P114" s="56"/>
      <c r="Q114" s="56"/>
      <c r="R114" s="1"/>
      <c r="U114" s="48"/>
      <c r="V114" s="56"/>
      <c r="W114" s="58"/>
      <c r="X114" s="56"/>
      <c r="Y114" s="2"/>
      <c r="Z114" s="56"/>
      <c r="AA114" s="2"/>
      <c r="AB114" s="2"/>
    </row>
    <row r="115" spans="1:28">
      <c r="A115" s="14" t="s">
        <v>147</v>
      </c>
      <c r="C115" s="30"/>
      <c r="D115" t="b">
        <f>IF($C$111&lt;$C115, "U-Intrinsic")</f>
        <v>0</v>
      </c>
      <c r="F115" s="7" t="s">
        <v>148</v>
      </c>
      <c r="G115" s="1"/>
      <c r="I115" s="1"/>
      <c r="J115" s="7" t="s">
        <v>149</v>
      </c>
      <c r="K115" s="7">
        <v>3</v>
      </c>
      <c r="L115" s="1"/>
      <c r="M115" s="56"/>
      <c r="N115" s="48"/>
      <c r="O115" s="56"/>
      <c r="P115" s="56"/>
      <c r="Q115" s="56"/>
      <c r="R115" s="1"/>
      <c r="U115" s="48"/>
      <c r="V115" s="56"/>
      <c r="W115" s="58"/>
      <c r="X115" s="56"/>
      <c r="Y115" s="2"/>
      <c r="Z115" s="56"/>
      <c r="AA115" s="2"/>
      <c r="AB115" s="2"/>
    </row>
    <row r="116" spans="1:28">
      <c r="F116" s="7" t="s">
        <v>150</v>
      </c>
      <c r="G116" s="1"/>
      <c r="I116" s="1"/>
      <c r="J116" s="7" t="s">
        <v>151</v>
      </c>
      <c r="K116" s="7">
        <v>4</v>
      </c>
      <c r="L116" s="1"/>
      <c r="M116" s="56"/>
      <c r="N116" s="48"/>
      <c r="O116" s="56"/>
      <c r="P116" s="56"/>
      <c r="Q116" s="56"/>
      <c r="R116" s="1"/>
      <c r="U116" s="48"/>
      <c r="V116" s="56"/>
      <c r="W116" s="58"/>
      <c r="X116" s="56"/>
      <c r="Y116" s="2"/>
      <c r="Z116" s="56"/>
      <c r="AA116" s="2"/>
      <c r="AB116" s="2"/>
    </row>
    <row r="117" spans="1:28">
      <c r="I117" s="1"/>
      <c r="J117" s="7" t="s">
        <v>152</v>
      </c>
    </row>
    <row r="118" spans="1:28" ht="17.100000000000001" thickBot="1">
      <c r="C118" s="16" t="s">
        <v>153</v>
      </c>
      <c r="F118" s="7" t="s">
        <v>154</v>
      </c>
      <c r="G118" s="1"/>
    </row>
    <row r="119" spans="1:28">
      <c r="B119" s="17" t="s">
        <v>155</v>
      </c>
      <c r="C119" s="1"/>
    </row>
    <row r="120" spans="1:28">
      <c r="B120" s="17" t="s">
        <v>156</v>
      </c>
      <c r="C120" s="1"/>
      <c r="F120" s="7" t="s">
        <v>157</v>
      </c>
      <c r="G120" s="1"/>
      <c r="I120" s="1">
        <f>I112</f>
        <v>0</v>
      </c>
      <c r="J120" s="7" t="s">
        <v>158</v>
      </c>
      <c r="L120" s="7" t="s">
        <v>157</v>
      </c>
      <c r="M120" s="31" t="e">
        <f>G116*R120</f>
        <v>#DIV/0!</v>
      </c>
      <c r="R120" s="1" t="e">
        <f>IF(R116&lt;&gt;"",AVERAGE(R112:R116),IF(R115&lt;&gt;"",AVERAGE(R112:R115),IF(R114&lt;&gt;"",AVERAGE(R112:R114),IF(R113&lt;&gt;"",AVERAGE(R112:R113),AVERAGE(R112)))))</f>
        <v>#DIV/0!</v>
      </c>
    </row>
    <row r="123" spans="1:28">
      <c r="A123" s="7" t="s">
        <v>159</v>
      </c>
    </row>
    <row r="124" spans="1:28">
      <c r="A124" s="82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53"/>
    </row>
    <row r="125" spans="1:28">
      <c r="A125" s="18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20"/>
    </row>
    <row r="126" spans="1:28">
      <c r="A126" s="18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20"/>
    </row>
    <row r="127" spans="1:28">
      <c r="A127" s="18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20"/>
    </row>
    <row r="128" spans="1:28">
      <c r="A128" s="18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20"/>
    </row>
    <row r="129" spans="1:22">
      <c r="A129" s="18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20"/>
    </row>
    <row r="130" spans="1:22">
      <c r="A130" s="18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20"/>
    </row>
    <row r="131" spans="1:22">
      <c r="A131" s="18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20"/>
    </row>
    <row r="132" spans="1:22">
      <c r="A132" s="18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20"/>
    </row>
    <row r="133" spans="1:22">
      <c r="A133" s="18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20"/>
    </row>
    <row r="134" spans="1:22">
      <c r="A134" s="18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20"/>
    </row>
    <row r="135" spans="1:22">
      <c r="A135" s="18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20"/>
    </row>
    <row r="136" spans="1:22">
      <c r="A136" s="22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4"/>
    </row>
    <row r="138" spans="1:22">
      <c r="A138" s="82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53"/>
    </row>
    <row r="139" spans="1:22">
      <c r="A139" s="18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20"/>
    </row>
    <row r="140" spans="1:22">
      <c r="A140" s="18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20"/>
    </row>
    <row r="141" spans="1:22">
      <c r="A141" s="18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20"/>
    </row>
    <row r="142" spans="1:22">
      <c r="A142" s="18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20"/>
    </row>
    <row r="143" spans="1:22">
      <c r="A143" s="18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20"/>
    </row>
    <row r="144" spans="1:22">
      <c r="A144" s="18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20"/>
    </row>
    <row r="145" spans="1:22">
      <c r="A145" s="18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20"/>
    </row>
    <row r="146" spans="1:22">
      <c r="A146" s="18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20"/>
    </row>
    <row r="147" spans="1:22">
      <c r="A147" s="18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20"/>
    </row>
    <row r="148" spans="1:22">
      <c r="A148" s="18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20"/>
    </row>
    <row r="149" spans="1:22">
      <c r="A149" s="18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20"/>
    </row>
    <row r="150" spans="1:22">
      <c r="A150" s="22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4"/>
    </row>
    <row r="152" spans="1:22">
      <c r="A152" s="32"/>
      <c r="B152" s="32"/>
      <c r="C152" s="32"/>
    </row>
    <row r="153" spans="1:22">
      <c r="A153" s="33"/>
      <c r="B153" s="33"/>
      <c r="C153" s="33"/>
    </row>
    <row r="156" spans="1:22">
      <c r="B156" s="72" t="s">
        <v>160</v>
      </c>
      <c r="C156" s="72"/>
      <c r="E156" s="71" t="s">
        <v>161</v>
      </c>
      <c r="G156" s="71" t="s">
        <v>162</v>
      </c>
      <c r="I156" s="71" t="s">
        <v>163</v>
      </c>
    </row>
    <row r="157" spans="1:22">
      <c r="B157"/>
      <c r="C157" s="1"/>
      <c r="E157"/>
      <c r="G157"/>
      <c r="I157" s="1"/>
    </row>
    <row r="158" spans="1:22" ht="15" customHeight="1">
      <c r="B158"/>
      <c r="C158" s="1"/>
      <c r="E158"/>
      <c r="G158"/>
      <c r="I158" s="1"/>
    </row>
    <row r="159" spans="1:22">
      <c r="B159"/>
      <c r="C159" s="1"/>
      <c r="E159"/>
      <c r="G159"/>
      <c r="I159" s="1"/>
    </row>
    <row r="160" spans="1:22">
      <c r="B160"/>
      <c r="C160" s="1"/>
      <c r="E160"/>
      <c r="G160"/>
      <c r="I160" s="1"/>
    </row>
    <row r="161" spans="2:9">
      <c r="B161"/>
      <c r="C161" s="1"/>
      <c r="E161"/>
      <c r="G161"/>
      <c r="I161" s="1"/>
    </row>
    <row r="162" spans="2:9">
      <c r="B162"/>
      <c r="C162" s="1"/>
      <c r="E162"/>
      <c r="G162"/>
      <c r="I162" s="1"/>
    </row>
    <row r="163" spans="2:9">
      <c r="B163"/>
      <c r="C163" s="1"/>
      <c r="E163"/>
      <c r="G163"/>
      <c r="I163" s="1"/>
    </row>
    <row r="164" spans="2:9">
      <c r="B164"/>
      <c r="C164" s="1"/>
      <c r="E164"/>
      <c r="G164"/>
      <c r="I164" s="1"/>
    </row>
    <row r="165" spans="2:9">
      <c r="B165"/>
      <c r="C165" s="1"/>
      <c r="E165"/>
      <c r="G165"/>
      <c r="I165" s="1"/>
    </row>
    <row r="166" spans="2:9">
      <c r="B166"/>
      <c r="C166" s="1"/>
      <c r="E166"/>
      <c r="G166"/>
      <c r="I166" s="1"/>
    </row>
    <row r="167" spans="2:9">
      <c r="B167"/>
      <c r="C167" s="1"/>
      <c r="E167"/>
      <c r="G167"/>
      <c r="I167" s="1"/>
    </row>
    <row r="168" spans="2:9">
      <c r="B168"/>
      <c r="C168" s="1"/>
      <c r="E168"/>
      <c r="G168"/>
      <c r="I168" s="1"/>
    </row>
    <row r="169" spans="2:9">
      <c r="B169"/>
      <c r="C169" s="1"/>
      <c r="E169"/>
      <c r="G169"/>
      <c r="I169" s="1"/>
    </row>
    <row r="170" spans="2:9">
      <c r="B170"/>
      <c r="C170" s="1"/>
      <c r="E170"/>
      <c r="G170"/>
      <c r="I170" s="1"/>
    </row>
    <row r="171" spans="2:9">
      <c r="B171"/>
      <c r="C171" s="1"/>
      <c r="E171"/>
      <c r="G171"/>
      <c r="I171" s="1"/>
    </row>
    <row r="172" spans="2:9">
      <c r="B172"/>
      <c r="C172" s="1"/>
      <c r="E172"/>
      <c r="G172"/>
      <c r="I172" s="1"/>
    </row>
    <row r="173" spans="2:9">
      <c r="B173"/>
      <c r="C173" s="1"/>
      <c r="E173"/>
      <c r="G173"/>
      <c r="I173" s="1"/>
    </row>
    <row r="174" spans="2:9">
      <c r="B174"/>
      <c r="C174" s="1"/>
      <c r="E174"/>
      <c r="G174"/>
      <c r="I174" s="1"/>
    </row>
    <row r="175" spans="2:9">
      <c r="B175"/>
      <c r="C175" s="1"/>
      <c r="E175"/>
      <c r="G175"/>
      <c r="I175" s="1"/>
    </row>
    <row r="176" spans="2:9">
      <c r="B176"/>
      <c r="C176" s="1"/>
      <c r="E176"/>
      <c r="G176"/>
      <c r="I176" s="1"/>
    </row>
    <row r="177" spans="2:9">
      <c r="B177"/>
      <c r="C177" s="1"/>
      <c r="E177"/>
      <c r="G177"/>
      <c r="I177" s="1"/>
    </row>
    <row r="178" spans="2:9">
      <c r="B178"/>
      <c r="C178" s="1"/>
      <c r="E178"/>
      <c r="G178"/>
      <c r="I178" s="1"/>
    </row>
    <row r="179" spans="2:9">
      <c r="B179"/>
      <c r="C179" s="1"/>
      <c r="E179"/>
      <c r="G179"/>
      <c r="I179" s="1"/>
    </row>
    <row r="180" spans="2:9">
      <c r="B180"/>
      <c r="C180" s="1"/>
      <c r="E180"/>
      <c r="G180"/>
      <c r="I180" s="1"/>
    </row>
    <row r="181" spans="2:9">
      <c r="B181"/>
      <c r="C181" s="1"/>
      <c r="E181"/>
      <c r="G181"/>
      <c r="I181" s="1"/>
    </row>
    <row r="182" spans="2:9">
      <c r="B182"/>
      <c r="C182" s="1"/>
      <c r="E182"/>
      <c r="G182"/>
      <c r="I182" s="1"/>
    </row>
    <row r="183" spans="2:9">
      <c r="B183"/>
      <c r="C183" s="1"/>
      <c r="E183"/>
      <c r="G183"/>
      <c r="I183" s="1"/>
    </row>
    <row r="184" spans="2:9">
      <c r="B184"/>
      <c r="C184" s="1"/>
      <c r="E184"/>
      <c r="G184"/>
      <c r="I184" s="1"/>
    </row>
    <row r="185" spans="2:9">
      <c r="B185"/>
      <c r="C185" s="1"/>
      <c r="E185"/>
      <c r="G185"/>
      <c r="I185" s="1"/>
    </row>
    <row r="186" spans="2:9">
      <c r="B186"/>
      <c r="C186" s="1"/>
      <c r="E186"/>
      <c r="G186"/>
      <c r="I186" s="1"/>
    </row>
    <row r="187" spans="2:9">
      <c r="B187"/>
      <c r="C187" s="1"/>
      <c r="E187"/>
      <c r="G187"/>
      <c r="I187" s="1"/>
    </row>
    <row r="188" spans="2:9">
      <c r="B188"/>
      <c r="C188" s="1"/>
      <c r="E188"/>
      <c r="G188"/>
      <c r="I188" s="1"/>
    </row>
    <row r="189" spans="2:9">
      <c r="B189"/>
      <c r="C189" s="1"/>
      <c r="E189"/>
      <c r="G189"/>
      <c r="I189" s="1"/>
    </row>
    <row r="190" spans="2:9">
      <c r="B190"/>
      <c r="C190" s="1"/>
      <c r="E190"/>
      <c r="G190"/>
      <c r="I190" s="1"/>
    </row>
    <row r="191" spans="2:9">
      <c r="B191"/>
      <c r="C191" s="1"/>
      <c r="E191"/>
      <c r="G191"/>
      <c r="I191" s="1"/>
    </row>
    <row r="192" spans="2:9">
      <c r="B192"/>
      <c r="C192" s="1"/>
      <c r="E192"/>
      <c r="G192"/>
      <c r="I192" s="1"/>
    </row>
    <row r="193" spans="1:9">
      <c r="B193"/>
      <c r="C193" s="1"/>
      <c r="E193"/>
      <c r="G193"/>
      <c r="I193" s="1"/>
    </row>
    <row r="194" spans="1:9">
      <c r="B194"/>
      <c r="C194" s="1"/>
      <c r="E194"/>
      <c r="G194"/>
      <c r="I194" s="1"/>
    </row>
    <row r="195" spans="1:9">
      <c r="B195"/>
      <c r="C195" s="1"/>
      <c r="E195"/>
      <c r="G195"/>
      <c r="I195" s="1"/>
    </row>
    <row r="196" spans="1:9">
      <c r="B196"/>
      <c r="C196" s="1"/>
      <c r="E196"/>
      <c r="G196"/>
      <c r="I196" s="1"/>
    </row>
    <row r="200" spans="1:9">
      <c r="D200" s="67"/>
    </row>
    <row r="201" spans="1:9">
      <c r="D201" s="66"/>
    </row>
    <row r="202" spans="1:9">
      <c r="A202" s="14" t="s">
        <v>38</v>
      </c>
      <c r="C202" s="3" t="str">
        <f>"L4Q, YE at "&amp;C90</f>
        <v>L4Q, YE at 0</v>
      </c>
      <c r="D202" s="3" t="str">
        <f>"L4Q, YE at "&amp;LEFT(C90,4)-1</f>
        <v>L4Q, YE at -1</v>
      </c>
      <c r="E202" s="3" t="str">
        <f>"L4Q, YE at "&amp;LEFT(C90,4)-2</f>
        <v>L4Q, YE at -2</v>
      </c>
      <c r="F202" s="3" t="str">
        <f>"L4Q, YE at "&amp;LEFT(C90,4)-3</f>
        <v>L4Q, YE at -3</v>
      </c>
      <c r="G202" s="3" t="str">
        <f>"L4Q, YE at "&amp;LEFT(C90,4)-4</f>
        <v>L4Q, YE at -4</v>
      </c>
    </row>
    <row r="203" spans="1:9">
      <c r="A203" s="7" t="s">
        <v>39</v>
      </c>
      <c r="C203" s="35"/>
      <c r="D203" s="35"/>
      <c r="E203" s="35"/>
      <c r="F203" s="35"/>
      <c r="G203" s="35"/>
    </row>
    <row r="204" spans="1:9">
      <c r="A204" s="7" t="s">
        <v>41</v>
      </c>
      <c r="C204" s="34" t="e">
        <f>C203/D203</f>
        <v>#DIV/0!</v>
      </c>
      <c r="D204" s="34" t="e">
        <f t="shared" ref="D204:F204" si="36">D203/E203</f>
        <v>#DIV/0!</v>
      </c>
      <c r="E204" s="34" t="e">
        <f t="shared" si="36"/>
        <v>#DIV/0!</v>
      </c>
      <c r="F204" s="34" t="e">
        <f t="shared" si="36"/>
        <v>#DIV/0!</v>
      </c>
      <c r="G204" s="35"/>
    </row>
    <row r="205" spans="1:9">
      <c r="A205" s="7" t="s">
        <v>42</v>
      </c>
      <c r="C205" s="35"/>
      <c r="D205" s="35"/>
      <c r="E205" s="35"/>
      <c r="F205" s="35"/>
      <c r="G205" s="35"/>
    </row>
    <row r="206" spans="1:9">
      <c r="A206" s="7" t="s">
        <v>43</v>
      </c>
      <c r="C206" s="35"/>
      <c r="D206" s="35"/>
      <c r="E206" s="35"/>
      <c r="F206" s="35"/>
      <c r="G206" s="35"/>
    </row>
    <row r="207" spans="1:9">
      <c r="A207" s="7" t="s">
        <v>44</v>
      </c>
      <c r="C207" s="34" t="e">
        <f>C206/C203</f>
        <v>#DIV/0!</v>
      </c>
      <c r="D207" s="34" t="e">
        <f t="shared" ref="D207:G207" si="37">D206/D203</f>
        <v>#DIV/0!</v>
      </c>
      <c r="E207" s="34" t="e">
        <f t="shared" si="37"/>
        <v>#DIV/0!</v>
      </c>
      <c r="F207" s="34" t="e">
        <f t="shared" si="37"/>
        <v>#DIV/0!</v>
      </c>
      <c r="G207" s="34" t="e">
        <f t="shared" si="37"/>
        <v>#DIV/0!</v>
      </c>
    </row>
    <row r="209" spans="1:7">
      <c r="A209" s="7" t="s">
        <v>45</v>
      </c>
      <c r="C209" s="35"/>
      <c r="D209" s="35"/>
      <c r="E209" s="35"/>
      <c r="F209" s="35"/>
      <c r="G209" s="35"/>
    </row>
    <row r="210" spans="1:7">
      <c r="C210" s="34" t="e">
        <f>C209/C206</f>
        <v>#DIV/0!</v>
      </c>
      <c r="D210" s="34" t="e">
        <f t="shared" ref="D210:G210" si="38">D209/D206</f>
        <v>#DIV/0!</v>
      </c>
      <c r="E210" s="34" t="e">
        <f t="shared" si="38"/>
        <v>#DIV/0!</v>
      </c>
      <c r="F210" s="34" t="e">
        <f t="shared" si="38"/>
        <v>#DIV/0!</v>
      </c>
      <c r="G210" s="34" t="e">
        <f t="shared" si="38"/>
        <v>#DIV/0!</v>
      </c>
    </row>
    <row r="211" spans="1:7">
      <c r="A211" s="7" t="s">
        <v>47</v>
      </c>
      <c r="C211" s="35"/>
      <c r="D211" s="35"/>
      <c r="E211" s="35"/>
      <c r="F211" s="35"/>
      <c r="G211" s="35"/>
    </row>
    <row r="212" spans="1:7">
      <c r="C212" s="34" t="e">
        <f>C211/C206</f>
        <v>#DIV/0!</v>
      </c>
      <c r="D212" s="34" t="e">
        <f t="shared" ref="D212:G212" si="39">D211/D206</f>
        <v>#DIV/0!</v>
      </c>
      <c r="E212" s="34" t="e">
        <f t="shared" si="39"/>
        <v>#DIV/0!</v>
      </c>
      <c r="F212" s="34" t="e">
        <f t="shared" si="39"/>
        <v>#DIV/0!</v>
      </c>
      <c r="G212" s="34" t="e">
        <f t="shared" si="39"/>
        <v>#DIV/0!</v>
      </c>
    </row>
    <row r="213" spans="1:7">
      <c r="A213" s="7" t="s">
        <v>49</v>
      </c>
      <c r="C213" s="35"/>
      <c r="D213" s="35"/>
      <c r="E213" s="35"/>
      <c r="F213" s="35"/>
      <c r="G213" s="35"/>
    </row>
    <row r="214" spans="1:7">
      <c r="C214" s="34" t="e">
        <f>C213/C206</f>
        <v>#DIV/0!</v>
      </c>
      <c r="D214" s="34" t="e">
        <f t="shared" ref="D214:G214" si="40">D213/D206</f>
        <v>#DIV/0!</v>
      </c>
      <c r="E214" s="34" t="e">
        <f t="shared" si="40"/>
        <v>#DIV/0!</v>
      </c>
      <c r="F214" s="34" t="e">
        <f t="shared" si="40"/>
        <v>#DIV/0!</v>
      </c>
      <c r="G214" s="34" t="e">
        <f t="shared" si="40"/>
        <v>#DIV/0!</v>
      </c>
    </row>
    <row r="215" spans="1:7">
      <c r="A215" s="7" t="s">
        <v>51</v>
      </c>
      <c r="C215" s="35"/>
      <c r="D215" s="35"/>
      <c r="E215" s="35"/>
      <c r="F215" s="35"/>
      <c r="G215" s="35"/>
    </row>
    <row r="216" spans="1:7">
      <c r="A216" s="7" t="s">
        <v>52</v>
      </c>
      <c r="C216" s="34" t="e">
        <f>C215/C203</f>
        <v>#DIV/0!</v>
      </c>
      <c r="D216" s="34" t="e">
        <f t="shared" ref="D216:G216" si="41">D215/D203</f>
        <v>#DIV/0!</v>
      </c>
      <c r="E216" s="34" t="e">
        <f t="shared" si="41"/>
        <v>#DIV/0!</v>
      </c>
      <c r="F216" s="34" t="e">
        <f t="shared" si="41"/>
        <v>#DIV/0!</v>
      </c>
      <c r="G216" s="34" t="e">
        <f t="shared" si="41"/>
        <v>#DIV/0!</v>
      </c>
    </row>
    <row r="218" spans="1:7">
      <c r="A218" s="7" t="s">
        <v>53</v>
      </c>
      <c r="C218" s="35"/>
      <c r="D218" s="35"/>
      <c r="E218" s="35"/>
      <c r="F218" s="35"/>
      <c r="G218" s="35"/>
    </row>
    <row r="219" spans="1:7">
      <c r="A219" s="7" t="s">
        <v>54</v>
      </c>
      <c r="C219" s="35"/>
      <c r="D219" s="35"/>
      <c r="E219" s="35"/>
      <c r="F219" s="35"/>
      <c r="G219" s="35"/>
    </row>
    <row r="220" spans="1:7">
      <c r="C220" s="54"/>
      <c r="D220" s="54"/>
      <c r="E220" s="54"/>
      <c r="F220" s="54"/>
      <c r="G220" s="54"/>
    </row>
    <row r="221" spans="1:7">
      <c r="A221" s="7" t="s">
        <v>56</v>
      </c>
      <c r="C221" s="57">
        <f>C222+C223+C224</f>
        <v>0</v>
      </c>
      <c r="D221" s="57">
        <f>D222+D223+D224</f>
        <v>0</v>
      </c>
      <c r="E221" s="57">
        <f>E222+E223+E224</f>
        <v>0</v>
      </c>
      <c r="F221" s="57">
        <f>F222+F223+F224</f>
        <v>0</v>
      </c>
      <c r="G221" s="57">
        <f>G222+G223+G224</f>
        <v>0</v>
      </c>
    </row>
    <row r="222" spans="1:7">
      <c r="A222" s="7" t="s">
        <v>57</v>
      </c>
      <c r="C222" s="35"/>
      <c r="D222" s="35"/>
      <c r="E222" s="35"/>
      <c r="F222" s="35"/>
      <c r="G222" s="35"/>
    </row>
    <row r="223" spans="1:7">
      <c r="A223" s="7" t="s">
        <v>58</v>
      </c>
      <c r="C223" s="35"/>
      <c r="D223" s="35"/>
      <c r="E223" s="35"/>
      <c r="F223" s="35"/>
      <c r="G223" s="35"/>
    </row>
    <row r="224" spans="1:7">
      <c r="A224" s="7" t="s">
        <v>59</v>
      </c>
      <c r="C224" s="35"/>
      <c r="D224" s="35"/>
      <c r="E224" s="35"/>
      <c r="F224" s="35"/>
      <c r="G224" s="35"/>
    </row>
    <row r="225" spans="1:7">
      <c r="C225" s="54"/>
      <c r="D225" s="54"/>
      <c r="E225" s="54"/>
      <c r="F225" s="54"/>
      <c r="G225" s="54"/>
    </row>
    <row r="226" spans="1:7">
      <c r="A226" s="7" t="s">
        <v>60</v>
      </c>
      <c r="C226" s="35"/>
      <c r="D226" s="35"/>
      <c r="E226" s="35"/>
      <c r="F226" s="35"/>
      <c r="G226" s="35"/>
    </row>
    <row r="227" spans="1:7">
      <c r="C227" s="54"/>
      <c r="D227" s="54"/>
      <c r="E227" s="54"/>
      <c r="F227" s="54"/>
      <c r="G227" s="54"/>
    </row>
    <row r="228" spans="1:7">
      <c r="A228" s="7" t="s">
        <v>61</v>
      </c>
      <c r="C228" s="35"/>
      <c r="D228" s="35"/>
      <c r="E228" s="35"/>
      <c r="F228" s="35"/>
      <c r="G228" s="35"/>
    </row>
    <row r="229" spans="1:7">
      <c r="A229" s="7" t="s">
        <v>63</v>
      </c>
      <c r="C229" s="34" t="e">
        <f>C228/C203</f>
        <v>#DIV/0!</v>
      </c>
      <c r="D229" s="34" t="e">
        <f>D228/D203</f>
        <v>#DIV/0!</v>
      </c>
      <c r="E229" s="34" t="e">
        <f>E228/E203</f>
        <v>#DIV/0!</v>
      </c>
      <c r="F229" s="34" t="e">
        <f>F228/F203</f>
        <v>#DIV/0!</v>
      </c>
      <c r="G229" s="34" t="e">
        <f>G228/G203</f>
        <v>#DIV/0!</v>
      </c>
    </row>
    <row r="231" spans="1:7">
      <c r="A231" s="7" t="s">
        <v>64</v>
      </c>
      <c r="C231" s="35"/>
      <c r="D231" s="35"/>
      <c r="E231" s="35"/>
      <c r="F231" s="35"/>
      <c r="G231" s="35"/>
    </row>
    <row r="234" spans="1:7">
      <c r="A234" s="14" t="s">
        <v>65</v>
      </c>
      <c r="C234" s="3" t="str">
        <f>C202</f>
        <v>L4Q, YE at 0</v>
      </c>
      <c r="D234" s="3" t="str">
        <f>D202</f>
        <v>L4Q, YE at -1</v>
      </c>
      <c r="E234" s="3" t="str">
        <f>E202</f>
        <v>L4Q, YE at -2</v>
      </c>
      <c r="F234" s="3" t="str">
        <f>F202</f>
        <v>L4Q, YE at -3</v>
      </c>
      <c r="G234" s="3" t="str">
        <f>G202</f>
        <v>L4Q, YE at -4</v>
      </c>
    </row>
    <row r="235" spans="1:7">
      <c r="A235" s="7" t="s">
        <v>66</v>
      </c>
      <c r="C235" s="46"/>
      <c r="D235" s="46"/>
      <c r="E235" s="46"/>
      <c r="F235" s="46"/>
      <c r="G235" s="46"/>
    </row>
    <row r="236" spans="1:7">
      <c r="A236" s="7" t="s">
        <v>67</v>
      </c>
      <c r="C236" s="46"/>
      <c r="D236" s="46"/>
      <c r="E236" s="46"/>
      <c r="F236" s="46"/>
      <c r="G236" s="46"/>
    </row>
    <row r="237" spans="1:7">
      <c r="A237" s="7" t="s">
        <v>68</v>
      </c>
      <c r="C237" s="46"/>
      <c r="D237" s="46"/>
      <c r="E237" s="46"/>
      <c r="F237" s="46"/>
      <c r="G237" s="46"/>
    </row>
    <row r="238" spans="1:7">
      <c r="A238" s="7" t="s">
        <v>69</v>
      </c>
      <c r="C238" s="35"/>
      <c r="D238" s="35"/>
      <c r="E238" s="35"/>
      <c r="F238" s="35"/>
      <c r="G238" s="35"/>
    </row>
    <row r="239" spans="1:7">
      <c r="A239" s="7" t="s">
        <v>70</v>
      </c>
      <c r="C239" s="35"/>
      <c r="D239" s="35"/>
      <c r="E239" s="35"/>
      <c r="F239" s="35"/>
      <c r="G239" s="35"/>
    </row>
    <row r="240" spans="1:7">
      <c r="A240" s="7" t="s">
        <v>71</v>
      </c>
      <c r="C240" s="35"/>
      <c r="D240" s="35"/>
      <c r="E240" s="35"/>
      <c r="F240" s="35"/>
      <c r="G240" s="35"/>
    </row>
    <row r="241" spans="1:7">
      <c r="A241" s="7" t="s">
        <v>72</v>
      </c>
      <c r="C241" s="35"/>
      <c r="D241" s="35"/>
      <c r="E241" s="35"/>
      <c r="F241" s="35"/>
      <c r="G241" s="35"/>
    </row>
    <row r="242" spans="1:7">
      <c r="A242" s="7" t="s">
        <v>73</v>
      </c>
      <c r="C242" s="35"/>
      <c r="D242" s="35"/>
      <c r="E242" s="35"/>
      <c r="F242" s="35"/>
      <c r="G242" s="35"/>
    </row>
    <row r="243" spans="1:7">
      <c r="A243" s="7" t="s">
        <v>75</v>
      </c>
      <c r="C243" s="35"/>
      <c r="D243" s="35"/>
      <c r="E243" s="35"/>
      <c r="F243" s="35"/>
      <c r="G243" s="35"/>
    </row>
    <row r="244" spans="1:7">
      <c r="A244" s="7" t="s">
        <v>76</v>
      </c>
      <c r="C244" s="35"/>
      <c r="D244" s="35"/>
      <c r="E244" s="35"/>
      <c r="F244" s="35"/>
      <c r="G244" s="35"/>
    </row>
    <row r="245" spans="1:7">
      <c r="A245" s="7" t="s">
        <v>77</v>
      </c>
      <c r="C245" s="35"/>
      <c r="D245" s="35"/>
      <c r="E245" s="35"/>
      <c r="F245" s="35"/>
      <c r="G245" s="35"/>
    </row>
    <row r="246" spans="1:7">
      <c r="A246" s="7" t="s">
        <v>78</v>
      </c>
      <c r="C246" s="35"/>
      <c r="D246" s="35"/>
      <c r="E246" s="35"/>
      <c r="F246" s="35"/>
      <c r="G246" s="35"/>
    </row>
    <row r="247" spans="1:7">
      <c r="C247" s="54"/>
      <c r="D247" s="54"/>
      <c r="E247" s="54"/>
      <c r="F247" s="54"/>
      <c r="G247" s="54"/>
    </row>
    <row r="248" spans="1:7">
      <c r="A248" s="7" t="s">
        <v>79</v>
      </c>
      <c r="C248" s="35"/>
      <c r="D248" s="35"/>
      <c r="E248" s="35"/>
      <c r="F248" s="35"/>
      <c r="G248" s="35"/>
    </row>
    <row r="249" spans="1:7">
      <c r="A249" s="7" t="s">
        <v>80</v>
      </c>
      <c r="C249" s="35"/>
      <c r="D249" s="35"/>
      <c r="E249" s="35"/>
      <c r="F249" s="35"/>
      <c r="G249" s="35"/>
    </row>
    <row r="250" spans="1:7">
      <c r="A250" s="7" t="s">
        <v>81</v>
      </c>
      <c r="C250" s="35"/>
      <c r="D250" s="35"/>
      <c r="E250" s="35"/>
      <c r="F250" s="35"/>
      <c r="G250" s="35"/>
    </row>
    <row r="251" spans="1:7">
      <c r="C251" s="54"/>
      <c r="D251" s="54"/>
      <c r="E251" s="54"/>
      <c r="F251" s="54"/>
      <c r="G251" s="54"/>
    </row>
    <row r="252" spans="1:7">
      <c r="A252" s="7" t="s">
        <v>82</v>
      </c>
      <c r="C252" s="35"/>
      <c r="D252" s="35"/>
      <c r="E252" s="35"/>
      <c r="F252" s="35"/>
      <c r="G252" s="35"/>
    </row>
    <row r="253" spans="1:7">
      <c r="A253" s="7" t="s">
        <v>83</v>
      </c>
      <c r="C253" s="35"/>
      <c r="D253" s="35"/>
      <c r="E253" s="35"/>
      <c r="F253" s="35"/>
      <c r="G253" s="35"/>
    </row>
    <row r="254" spans="1:7">
      <c r="A254" s="42" t="s">
        <v>84</v>
      </c>
      <c r="B254" s="42"/>
      <c r="C254" s="35"/>
      <c r="D254" s="35"/>
      <c r="E254" s="35"/>
      <c r="F254" s="35"/>
      <c r="G254" s="35"/>
    </row>
    <row r="255" spans="1:7">
      <c r="A255" s="42" t="s">
        <v>85</v>
      </c>
      <c r="B255" s="42"/>
      <c r="C255" s="35"/>
      <c r="D255" s="35"/>
      <c r="E255" s="35"/>
      <c r="F255" s="35"/>
      <c r="G255" s="35"/>
    </row>
    <row r="258" spans="1:7">
      <c r="A258" s="14" t="s">
        <v>87</v>
      </c>
      <c r="C258" s="3" t="str">
        <f>C234</f>
        <v>L4Q, YE at 0</v>
      </c>
      <c r="D258" s="3" t="str">
        <f>D234</f>
        <v>L4Q, YE at -1</v>
      </c>
      <c r="E258" s="3" t="str">
        <f>E234</f>
        <v>L4Q, YE at -2</v>
      </c>
      <c r="F258" s="3" t="str">
        <f>F234</f>
        <v>L4Q, YE at -3</v>
      </c>
      <c r="G258" s="3" t="str">
        <f>G234</f>
        <v>L4Q, YE at -4</v>
      </c>
    </row>
    <row r="259" spans="1:7">
      <c r="A259" s="7" t="s">
        <v>88</v>
      </c>
      <c r="C259" s="35"/>
      <c r="D259" s="35"/>
      <c r="E259" s="35"/>
      <c r="F259" s="35"/>
      <c r="G259" s="35"/>
    </row>
    <row r="260" spans="1:7">
      <c r="A260" s="42" t="s">
        <v>89</v>
      </c>
      <c r="C260" s="35"/>
      <c r="D260" s="35"/>
      <c r="E260" s="35"/>
      <c r="F260" s="35"/>
      <c r="G260" s="35"/>
    </row>
    <row r="261" spans="1:7">
      <c r="A261" s="7" t="s">
        <v>90</v>
      </c>
      <c r="C261" s="35"/>
      <c r="D261" s="35"/>
      <c r="E261" s="35"/>
      <c r="F261" s="35"/>
      <c r="G261" s="35"/>
    </row>
    <row r="262" spans="1:7">
      <c r="A262" s="7" t="s">
        <v>91</v>
      </c>
      <c r="C262" s="35"/>
      <c r="D262" s="35"/>
      <c r="E262" s="35"/>
      <c r="F262" s="35"/>
      <c r="G262" s="35"/>
    </row>
    <row r="263" spans="1:7">
      <c r="A263" s="7" t="s">
        <v>164</v>
      </c>
      <c r="C263" s="35">
        <f>C259-C260</f>
        <v>0</v>
      </c>
      <c r="D263" s="35">
        <f t="shared" ref="D263:G263" si="42">D259-D260</f>
        <v>0</v>
      </c>
      <c r="E263" s="35">
        <f t="shared" si="42"/>
        <v>0</v>
      </c>
      <c r="F263" s="35">
        <f t="shared" si="42"/>
        <v>0</v>
      </c>
      <c r="G263" s="35">
        <f t="shared" si="42"/>
        <v>0</v>
      </c>
    </row>
    <row r="265" spans="1:7">
      <c r="A265" s="7" t="s">
        <v>93</v>
      </c>
      <c r="C265" s="55" t="str">
        <f>IF(ISERROR(C263/C203)," ",C263/C203)</f>
        <v xml:space="preserve"> </v>
      </c>
      <c r="D265" s="55" t="str">
        <f>IF(ISERROR(D263/D203)," ",D263/D203)</f>
        <v xml:space="preserve"> </v>
      </c>
      <c r="E265" s="55" t="str">
        <f>IF(ISERROR(E263/E203)," ",E263/E203)</f>
        <v xml:space="preserve"> </v>
      </c>
      <c r="F265" s="55" t="str">
        <f>IF(ISERROR(F263/F203)," ",F263/F203)</f>
        <v xml:space="preserve"> </v>
      </c>
      <c r="G265" s="55" t="str">
        <f>IF(ISERROR(G263/G203)," ",G263/G203)</f>
        <v xml:space="preserve"> </v>
      </c>
    </row>
    <row r="266" spans="1:7">
      <c r="A266" s="7" t="s">
        <v>94</v>
      </c>
      <c r="C266" s="55" t="str">
        <f t="shared" ref="C266:G266" si="43">IF(ISERROR(C263/C241)," ",C263/C241)</f>
        <v xml:space="preserve"> </v>
      </c>
      <c r="D266" s="55" t="str">
        <f t="shared" si="43"/>
        <v xml:space="preserve"> </v>
      </c>
      <c r="E266" s="55" t="str">
        <f t="shared" si="43"/>
        <v xml:space="preserve"> </v>
      </c>
      <c r="F266" s="55" t="str">
        <f t="shared" si="43"/>
        <v xml:space="preserve"> </v>
      </c>
      <c r="G266" s="55" t="str">
        <f t="shared" si="43"/>
        <v xml:space="preserve"> </v>
      </c>
    </row>
    <row r="267" spans="1:7">
      <c r="A267" s="7" t="s">
        <v>95</v>
      </c>
      <c r="C267" s="55" t="str">
        <f t="shared" ref="C267:G267" si="44">+IF(ISERROR(C263/C250)," ",C263/C250)</f>
        <v xml:space="preserve"> </v>
      </c>
      <c r="D267" s="55" t="str">
        <f t="shared" si="44"/>
        <v xml:space="preserve"> </v>
      </c>
      <c r="E267" s="55" t="str">
        <f t="shared" si="44"/>
        <v xml:space="preserve"> </v>
      </c>
      <c r="F267" s="55" t="str">
        <f t="shared" si="44"/>
        <v xml:space="preserve"> </v>
      </c>
      <c r="G267" s="55" t="str">
        <f t="shared" si="44"/>
        <v xml:space="preserve"> </v>
      </c>
    </row>
    <row r="268" spans="1:7">
      <c r="A268" s="7" t="s">
        <v>96</v>
      </c>
      <c r="C268" s="55" t="str">
        <f>+IF(ISERROR(C263/C231)," ",C263/C231)</f>
        <v xml:space="preserve"> </v>
      </c>
      <c r="D268" s="55" t="str">
        <f t="shared" ref="D268:G268" si="45">+IF(ISERROR(D263/D231)," ",D263/D231)</f>
        <v xml:space="preserve"> </v>
      </c>
      <c r="E268" s="55" t="str">
        <f t="shared" si="45"/>
        <v xml:space="preserve"> </v>
      </c>
      <c r="F268" s="55" t="str">
        <f t="shared" si="45"/>
        <v xml:space="preserve"> </v>
      </c>
      <c r="G268" s="55" t="str">
        <f t="shared" si="45"/>
        <v xml:space="preserve"> </v>
      </c>
    </row>
    <row r="269" spans="1:7">
      <c r="A269" s="7" t="s">
        <v>97</v>
      </c>
      <c r="C269" s="55" t="str">
        <f t="shared" ref="C269:G269" si="46">IF(ISERROR(C259/C243)," ",C259/C243)</f>
        <v xml:space="preserve"> </v>
      </c>
      <c r="D269" s="55" t="str">
        <f t="shared" si="46"/>
        <v xml:space="preserve"> </v>
      </c>
      <c r="E269" s="55" t="str">
        <f t="shared" si="46"/>
        <v xml:space="preserve"> </v>
      </c>
      <c r="F269" s="55" t="str">
        <f t="shared" si="46"/>
        <v xml:space="preserve"> </v>
      </c>
      <c r="G269" s="55" t="str">
        <f t="shared" si="46"/>
        <v xml:space="preserve"> </v>
      </c>
    </row>
    <row r="270" spans="1:7">
      <c r="A270" s="7" t="s">
        <v>98</v>
      </c>
      <c r="C270" s="55" t="str">
        <f t="shared" ref="C270:G270" si="47">IF(ISERROR((C259-C231)/C243)," ",(C259-C231)/C243)</f>
        <v xml:space="preserve"> </v>
      </c>
      <c r="D270" s="55" t="str">
        <f t="shared" si="47"/>
        <v xml:space="preserve"> </v>
      </c>
      <c r="E270" s="55" t="str">
        <f t="shared" si="47"/>
        <v xml:space="preserve"> </v>
      </c>
      <c r="F270" s="55" t="str">
        <f t="shared" si="47"/>
        <v xml:space="preserve"> </v>
      </c>
      <c r="G270" s="55" t="str">
        <f t="shared" si="47"/>
        <v xml:space="preserve"> </v>
      </c>
    </row>
    <row r="271" spans="1:7">
      <c r="A271" s="7" t="s">
        <v>99</v>
      </c>
      <c r="C271" s="55" t="str">
        <f t="shared" ref="C271:G271" si="48">IF(ISERROR((C259-C231)/C245)," ",(C259-C231)/C245)</f>
        <v xml:space="preserve"> </v>
      </c>
      <c r="D271" s="55" t="str">
        <f t="shared" si="48"/>
        <v xml:space="preserve"> </v>
      </c>
      <c r="E271" s="55" t="str">
        <f t="shared" si="48"/>
        <v xml:space="preserve"> </v>
      </c>
      <c r="F271" s="55" t="str">
        <f t="shared" si="48"/>
        <v xml:space="preserve"> </v>
      </c>
      <c r="G271" s="55" t="str">
        <f t="shared" si="48"/>
        <v xml:space="preserve"> </v>
      </c>
    </row>
    <row r="272" spans="1:7">
      <c r="A272" s="7" t="s">
        <v>100</v>
      </c>
      <c r="C272" s="55" t="str">
        <f t="shared" ref="C272:G272" si="49">IF(ISERROR((C259+C221+C226)/C221)," ",(C259+C221+C226)/C221)</f>
        <v xml:space="preserve"> </v>
      </c>
      <c r="D272" s="55" t="str">
        <f t="shared" si="49"/>
        <v xml:space="preserve"> </v>
      </c>
      <c r="E272" s="55" t="str">
        <f t="shared" si="49"/>
        <v xml:space="preserve"> </v>
      </c>
      <c r="F272" s="55" t="str">
        <f t="shared" si="49"/>
        <v xml:space="preserve"> </v>
      </c>
      <c r="G272" s="55" t="str">
        <f t="shared" si="49"/>
        <v xml:space="preserve"> </v>
      </c>
    </row>
    <row r="273" spans="1:7">
      <c r="A273" s="42" t="s">
        <v>101</v>
      </c>
      <c r="B273" s="42"/>
      <c r="C273" s="2" t="str">
        <f t="shared" ref="C273:G273" si="50">IF(ISERROR(C259/(C259+C252+C253+C254+C255))," ",C259/(C259+C252+C253+C253+C255))</f>
        <v xml:space="preserve"> </v>
      </c>
      <c r="D273" s="2" t="str">
        <f t="shared" si="50"/>
        <v xml:space="preserve"> </v>
      </c>
      <c r="E273" s="2" t="str">
        <f t="shared" si="50"/>
        <v xml:space="preserve"> </v>
      </c>
      <c r="F273" s="2" t="str">
        <f t="shared" si="50"/>
        <v xml:space="preserve"> </v>
      </c>
      <c r="G273" s="2" t="str">
        <f t="shared" si="50"/>
        <v xml:space="preserve"> </v>
      </c>
    </row>
    <row r="274" spans="1:7">
      <c r="A274" s="42" t="s">
        <v>102</v>
      </c>
      <c r="B274" s="42"/>
      <c r="C274" s="55" t="str">
        <f t="shared" ref="C274:G274" si="51">IF(ISERROR(C261/C259)," ",C261/C259)</f>
        <v xml:space="preserve"> </v>
      </c>
      <c r="D274" s="55" t="str">
        <f t="shared" si="51"/>
        <v xml:space="preserve"> </v>
      </c>
      <c r="E274" s="55" t="str">
        <f t="shared" si="51"/>
        <v xml:space="preserve"> </v>
      </c>
      <c r="F274" s="55" t="str">
        <f t="shared" si="51"/>
        <v xml:space="preserve"> </v>
      </c>
      <c r="G274" s="55" t="str">
        <f t="shared" si="51"/>
        <v xml:space="preserve"> </v>
      </c>
    </row>
    <row r="276" spans="1:7">
      <c r="A276" s="7" t="s">
        <v>165</v>
      </c>
      <c r="C276" s="3" t="str">
        <f>C258</f>
        <v>L4Q, YE at 0</v>
      </c>
      <c r="D276" s="3" t="str">
        <f>D258</f>
        <v>L4Q, YE at -1</v>
      </c>
      <c r="E276" s="3" t="str">
        <f>E258</f>
        <v>L4Q, YE at -2</v>
      </c>
      <c r="F276" s="3" t="str">
        <f>F258</f>
        <v>L4Q, YE at -3</v>
      </c>
      <c r="G276" s="3" t="str">
        <f>G258</f>
        <v>L4Q, YE at -4</v>
      </c>
    </row>
    <row r="277" spans="1:7">
      <c r="A277" s="7" t="s">
        <v>103</v>
      </c>
      <c r="C277" s="1"/>
      <c r="D277" s="1"/>
      <c r="E277" s="1"/>
      <c r="F277" s="1"/>
      <c r="G277" s="1"/>
    </row>
    <row r="278" spans="1:7">
      <c r="A278" s="7" t="s">
        <v>104</v>
      </c>
      <c r="C278" s="1"/>
      <c r="D278" s="1"/>
      <c r="E278" s="1"/>
      <c r="F278" s="1"/>
      <c r="G278" s="1"/>
    </row>
    <row r="279" spans="1:7">
      <c r="A279" s="7" t="s">
        <v>110</v>
      </c>
      <c r="C279" s="2" t="str">
        <f>IF(OR(ISBLANK(C231),ISBLANK(C249)),"",C231/C249)</f>
        <v/>
      </c>
      <c r="D279" s="2" t="str">
        <f t="shared" ref="D279:G279" si="52">IF(OR(ISBLANK(D231),ISBLANK(D249)),"",D231/D249)</f>
        <v/>
      </c>
      <c r="E279" s="2" t="str">
        <f t="shared" si="52"/>
        <v/>
      </c>
      <c r="F279" s="2" t="str">
        <f t="shared" si="52"/>
        <v/>
      </c>
      <c r="G279" s="2" t="str">
        <f t="shared" si="52"/>
        <v/>
      </c>
    </row>
    <row r="280" spans="1:7">
      <c r="A280" s="7" t="s">
        <v>105</v>
      </c>
      <c r="C280" s="50"/>
      <c r="D280" s="50"/>
      <c r="E280" s="50"/>
      <c r="F280" s="50"/>
      <c r="G280" s="50"/>
    </row>
    <row r="281" spans="1:7">
      <c r="A281" s="7" t="s">
        <v>116</v>
      </c>
      <c r="C281" s="55" t="str">
        <f>IF(OR(ISBLANK(C228),ISBLANK(C250),ISBLANK(C250)),"",C228/C250)</f>
        <v/>
      </c>
      <c r="D281" s="55" t="str">
        <f t="shared" ref="D281:G281" si="53">IF(OR(ISBLANK(D228),ISBLANK(D250),ISBLANK(D250)),"",D228/D250)</f>
        <v/>
      </c>
      <c r="E281" s="55" t="str">
        <f t="shared" si="53"/>
        <v/>
      </c>
      <c r="F281" s="55" t="str">
        <f t="shared" si="53"/>
        <v/>
      </c>
      <c r="G281" s="55" t="str">
        <f t="shared" si="53"/>
        <v/>
      </c>
    </row>
    <row r="282" spans="1:7">
      <c r="A282" s="7" t="s">
        <v>115</v>
      </c>
      <c r="C282" s="55" t="str">
        <f>IF(OR(ISBLANK(C228),ISBLANK(C241),ISBLANK(C241)),"",C228/C241)</f>
        <v/>
      </c>
      <c r="D282" s="55" t="str">
        <f t="shared" ref="D282:G282" si="54">IF(OR(ISBLANK(D228),ISBLANK(D241),ISBLANK(D241)),"",D228/D241)</f>
        <v/>
      </c>
      <c r="E282" s="55" t="str">
        <f t="shared" si="54"/>
        <v/>
      </c>
      <c r="F282" s="55" t="str">
        <f t="shared" si="54"/>
        <v/>
      </c>
      <c r="G282" s="55" t="str">
        <f t="shared" si="54"/>
        <v/>
      </c>
    </row>
    <row r="283" spans="1:7">
      <c r="A283" s="7" t="s">
        <v>106</v>
      </c>
      <c r="C283" s="50" t="e">
        <f>C245/C241</f>
        <v>#DIV/0!</v>
      </c>
      <c r="D283" s="50" t="e">
        <f t="shared" ref="D283:G283" si="55">D245/D241</f>
        <v>#DIV/0!</v>
      </c>
      <c r="E283" s="50" t="e">
        <f t="shared" si="55"/>
        <v>#DIV/0!</v>
      </c>
      <c r="F283" s="50" t="e">
        <f t="shared" si="55"/>
        <v>#DIV/0!</v>
      </c>
      <c r="G283" s="50" t="e">
        <f t="shared" si="55"/>
        <v>#DIV/0!</v>
      </c>
    </row>
    <row r="284" spans="1:7">
      <c r="A284" s="7" t="s">
        <v>107</v>
      </c>
      <c r="C284" s="50" t="e">
        <f>C245/C250</f>
        <v>#DIV/0!</v>
      </c>
      <c r="D284" s="50" t="e">
        <f t="shared" ref="D284:G284" si="56">D245/D250</f>
        <v>#DIV/0!</v>
      </c>
      <c r="E284" s="50" t="e">
        <f t="shared" si="56"/>
        <v>#DIV/0!</v>
      </c>
      <c r="F284" s="50" t="e">
        <f t="shared" si="56"/>
        <v>#DIV/0!</v>
      </c>
      <c r="G284" s="50" t="e">
        <f t="shared" si="56"/>
        <v>#DIV/0!</v>
      </c>
    </row>
    <row r="285" spans="1:7">
      <c r="A285" s="7" t="s">
        <v>108</v>
      </c>
      <c r="C285" s="50"/>
      <c r="D285" s="50"/>
      <c r="E285" s="50"/>
      <c r="F285" s="50"/>
      <c r="G285" s="50"/>
    </row>
    <row r="286" spans="1:7">
      <c r="A286" s="7" t="s">
        <v>166</v>
      </c>
      <c r="C286" s="50"/>
      <c r="D286" s="50"/>
      <c r="E286" s="50"/>
      <c r="F286" s="50"/>
      <c r="G286" s="50"/>
    </row>
    <row r="287" spans="1:7">
      <c r="A287" s="7" t="s">
        <v>112</v>
      </c>
      <c r="C287" s="2" t="str">
        <f t="shared" ref="C287:G287" si="57">IF(OR(ISBLANK(C238),ISBLANK(C243)),"",C238/C243)</f>
        <v/>
      </c>
      <c r="D287" s="2" t="str">
        <f t="shared" si="57"/>
        <v/>
      </c>
      <c r="E287" s="2" t="str">
        <f t="shared" si="57"/>
        <v/>
      </c>
      <c r="F287" s="2" t="str">
        <f t="shared" si="57"/>
        <v/>
      </c>
      <c r="G287" s="2" t="str">
        <f t="shared" si="57"/>
        <v/>
      </c>
    </row>
    <row r="288" spans="1:7">
      <c r="A288" s="7" t="s">
        <v>113</v>
      </c>
      <c r="C288" s="2" t="str">
        <f t="shared" ref="C288:G288" si="58">IF(OR(ISBLANK(C236),ISBLANK(C238),ISBLANK(C243)),"",(C238-C236)/C243)</f>
        <v/>
      </c>
      <c r="D288" s="2" t="str">
        <f t="shared" si="58"/>
        <v/>
      </c>
      <c r="E288" s="2" t="str">
        <f t="shared" si="58"/>
        <v/>
      </c>
      <c r="F288" s="2" t="str">
        <f t="shared" si="58"/>
        <v/>
      </c>
      <c r="G288" s="2" t="str">
        <f t="shared" si="58"/>
        <v/>
      </c>
    </row>
    <row r="289" spans="1:7">
      <c r="A289" s="7" t="s">
        <v>114</v>
      </c>
      <c r="C289" s="2" t="str">
        <f>IF(ISERROR(C203/(C238-C243))," ",C203/(C238-C243))</f>
        <v xml:space="preserve"> </v>
      </c>
      <c r="D289" s="2" t="str">
        <f>IF(ISERROR(D203/(D238-D243))," ",D203/(D238-D243))</f>
        <v xml:space="preserve"> </v>
      </c>
      <c r="E289" s="2" t="str">
        <f>IF(ISERROR(E203/(E238-E243))," ",E203/(E238-E243))</f>
        <v xml:space="preserve"> </v>
      </c>
      <c r="F289" s="2" t="str">
        <f>IF(ISERROR(F203/(F238-F243))," ",F203/(F238-F243))</f>
        <v xml:space="preserve"> </v>
      </c>
      <c r="G289" s="2" t="str">
        <f>IF(ISERROR(G203/(G238-G243))," ",G203/(G238-G243))</f>
        <v xml:space="preserve"> </v>
      </c>
    </row>
    <row r="290" spans="1:7">
      <c r="A290" s="7" t="s">
        <v>41</v>
      </c>
      <c r="C290" s="55" t="str">
        <f>IF(OR(ISBLANK(C203),ISBLANK(D203)),"",C203/D203)</f>
        <v/>
      </c>
      <c r="D290" s="55" t="str">
        <f>IF(OR(ISBLANK(D203),ISBLANK(E203)),"",D203/E203)</f>
        <v/>
      </c>
      <c r="E290" s="55" t="str">
        <f>IF(OR(ISBLANK(E203),ISBLANK(F203)),"",E203/F203)</f>
        <v/>
      </c>
      <c r="F290" s="55" t="str">
        <f>IF(OR(ISBLANK(F203),ISBLANK(G203)),"",F203/G203)</f>
        <v/>
      </c>
    </row>
    <row r="291" spans="1:7">
      <c r="A291" s="7" t="s">
        <v>167</v>
      </c>
      <c r="C291" s="55" t="str">
        <f>IF(OR(ISBLANK(C228),ISBLANK(D228)),"",C228/D228)</f>
        <v/>
      </c>
      <c r="D291" s="55" t="str">
        <f>IF(OR(ISBLANK(D228),ISBLANK(E228)),"",D228/E228)</f>
        <v/>
      </c>
      <c r="E291" s="55" t="str">
        <f>IF(OR(ISBLANK(E228),ISBLANK(F228)),"",E228/F228)</f>
        <v/>
      </c>
      <c r="F291" s="55" t="str">
        <f>IF(OR(ISBLANK(F228),ISBLANK(G228)),"",F228/G228)</f>
        <v/>
      </c>
    </row>
    <row r="292" spans="1:7">
      <c r="A292" s="7" t="s">
        <v>168</v>
      </c>
      <c r="C292" s="55" t="str">
        <f>IF(OR(ISBLANK(C236),ISBLANK(D236)),"",C236/D236)</f>
        <v/>
      </c>
      <c r="D292" s="55" t="str">
        <f>IF(OR(ISBLANK(D236),ISBLANK(E236)),"",D236/E236)</f>
        <v/>
      </c>
      <c r="E292" s="55" t="str">
        <f>IF(OR(ISBLANK(E236),ISBLANK(F236)),"",E236/F236)</f>
        <v/>
      </c>
      <c r="F292" s="55" t="str">
        <f>IF(OR(ISBLANK(F236),ISBLANK(G236)),"",F236/G236)</f>
        <v/>
      </c>
    </row>
    <row r="293" spans="1:7">
      <c r="A293" s="7" t="s">
        <v>118</v>
      </c>
      <c r="C293" s="55" t="str">
        <f>IF(OR(ISBLANK(C228),ISBLANK(C260)),"",C228/C260)</f>
        <v/>
      </c>
      <c r="D293" s="55" t="str">
        <f t="shared" ref="D293:G293" si="59">IF(OR(ISBLANK(D228),ISBLANK(D260)),"",D228/D260)</f>
        <v/>
      </c>
      <c r="E293" s="55" t="str">
        <f t="shared" si="59"/>
        <v/>
      </c>
      <c r="F293" s="55" t="str">
        <f t="shared" si="59"/>
        <v/>
      </c>
      <c r="G293" s="55" t="str">
        <f t="shared" si="59"/>
        <v/>
      </c>
    </row>
    <row r="294" spans="1:7">
      <c r="A294" s="7" t="s">
        <v>117</v>
      </c>
      <c r="C294" s="2" t="str">
        <f>IF(OR(ISBLANK(C243),ISBLANK(C245)),"",C243/C245)</f>
        <v/>
      </c>
      <c r="D294" s="2" t="str">
        <f t="shared" ref="D294:G295" si="60">IF(OR(ISBLANK(D243),ISBLANK(D245)),"",D243/D245)</f>
        <v/>
      </c>
      <c r="E294" s="2" t="str">
        <f t="shared" si="60"/>
        <v/>
      </c>
      <c r="F294" s="2" t="str">
        <f t="shared" si="60"/>
        <v/>
      </c>
      <c r="G294" s="2" t="str">
        <f t="shared" si="60"/>
        <v/>
      </c>
    </row>
    <row r="295" spans="1:7">
      <c r="A295" s="7" t="s">
        <v>119</v>
      </c>
      <c r="C295" s="2" t="str">
        <f>IF(OR(ISBLANK(C244),ISBLANK(C246)),"",C244/C246)</f>
        <v/>
      </c>
      <c r="D295" s="2" t="str">
        <f t="shared" si="60"/>
        <v/>
      </c>
      <c r="E295" s="2" t="str">
        <f t="shared" si="60"/>
        <v/>
      </c>
      <c r="F295" s="2" t="str">
        <f t="shared" si="60"/>
        <v/>
      </c>
      <c r="G295" s="2" t="str">
        <f t="shared" si="60"/>
        <v/>
      </c>
    </row>
  </sheetData>
  <mergeCells count="2">
    <mergeCell ref="B156:C156"/>
    <mergeCell ref="G2:J6"/>
  </mergeCells>
  <conditionalFormatting sqref="D112:D113">
    <cfRule type="containsText" dxfId="1" priority="3" operator="containsText" text="U">
      <formula>NOT(ISERROR(SEARCH("U",D112)))</formula>
    </cfRule>
  </conditionalFormatting>
  <conditionalFormatting sqref="D115">
    <cfRule type="containsText" dxfId="0" priority="1" operator="containsText" text="U">
      <formula>NOT(ISERROR(SEARCH("U",D115)))</formula>
    </cfRule>
  </conditionalFormatting>
  <pageMargins left="0.75" right="0.75" top="1" bottom="1" header="0.5" footer="0.5"/>
  <pageSetup paperSize="9" orientation="portrait" horizontalDpi="4294967292" verticalDpi="4294967292"/>
  <ignoredErrors>
    <ignoredError sqref="C29" evalError="1"/>
  </ignoredErrors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189F5-60E7-3544-BCA3-11461E06BA30}">
  <dimension ref="A1:C64"/>
  <sheetViews>
    <sheetView workbookViewId="0">
      <selection activeCell="D66" sqref="D66"/>
    </sheetView>
  </sheetViews>
  <sheetFormatPr defaultColWidth="11" defaultRowHeight="15.95"/>
  <sheetData>
    <row r="1" spans="1:2">
      <c r="A1" t="s">
        <v>169</v>
      </c>
    </row>
    <row r="2" spans="1:2">
      <c r="A2" t="s">
        <v>170</v>
      </c>
    </row>
    <row r="3" spans="1:2">
      <c r="B3" t="s">
        <v>171</v>
      </c>
    </row>
    <row r="4" spans="1:2">
      <c r="B4" t="s">
        <v>172</v>
      </c>
    </row>
    <row r="5" spans="1:2">
      <c r="B5" t="s">
        <v>173</v>
      </c>
    </row>
    <row r="7" spans="1:2">
      <c r="A7" t="s">
        <v>174</v>
      </c>
    </row>
    <row r="8" spans="1:2">
      <c r="B8" t="s">
        <v>175</v>
      </c>
    </row>
    <row r="9" spans="1:2">
      <c r="B9" t="s">
        <v>176</v>
      </c>
    </row>
    <row r="11" spans="1:2">
      <c r="A11" t="s">
        <v>177</v>
      </c>
    </row>
    <row r="12" spans="1:2">
      <c r="B12" t="s">
        <v>178</v>
      </c>
    </row>
    <row r="13" spans="1:2">
      <c r="B13" t="s">
        <v>179</v>
      </c>
    </row>
    <row r="15" spans="1:2">
      <c r="A15" t="s">
        <v>180</v>
      </c>
    </row>
    <row r="16" spans="1:2">
      <c r="B16" t="s">
        <v>178</v>
      </c>
    </row>
    <row r="17" spans="1:2">
      <c r="B17" t="s">
        <v>179</v>
      </c>
    </row>
    <row r="19" spans="1:2">
      <c r="A19" t="s">
        <v>51</v>
      </c>
    </row>
    <row r="20" spans="1:2">
      <c r="B20" t="s">
        <v>178</v>
      </c>
    </row>
    <row r="21" spans="1:2">
      <c r="B21" t="s">
        <v>179</v>
      </c>
    </row>
    <row r="24" spans="1:2">
      <c r="A24" t="s">
        <v>181</v>
      </c>
    </row>
    <row r="26" spans="1:2">
      <c r="A26" t="s">
        <v>182</v>
      </c>
    </row>
    <row r="27" spans="1:2">
      <c r="A27" t="s">
        <v>183</v>
      </c>
    </row>
    <row r="30" spans="1:2">
      <c r="A30" t="s">
        <v>184</v>
      </c>
    </row>
    <row r="31" spans="1:2">
      <c r="B31" t="s">
        <v>185</v>
      </c>
    </row>
    <row r="33" spans="1:2">
      <c r="A33" t="s">
        <v>186</v>
      </c>
    </row>
    <row r="34" spans="1:2">
      <c r="B34" t="s">
        <v>187</v>
      </c>
    </row>
    <row r="36" spans="1:2">
      <c r="A36" t="s">
        <v>188</v>
      </c>
    </row>
    <row r="38" spans="1:2">
      <c r="A38" t="s">
        <v>189</v>
      </c>
    </row>
    <row r="40" spans="1:2">
      <c r="A40" t="s">
        <v>190</v>
      </c>
    </row>
    <row r="43" spans="1:2">
      <c r="A43" t="s">
        <v>191</v>
      </c>
    </row>
    <row r="45" spans="1:2">
      <c r="A45" t="s">
        <v>192</v>
      </c>
    </row>
    <row r="46" spans="1:2">
      <c r="A46" t="s">
        <v>193</v>
      </c>
    </row>
    <row r="49" spans="1:3">
      <c r="A49" t="s">
        <v>194</v>
      </c>
    </row>
    <row r="50" spans="1:3">
      <c r="A50" t="s">
        <v>195</v>
      </c>
    </row>
    <row r="51" spans="1:3">
      <c r="A51" t="s">
        <v>196</v>
      </c>
    </row>
    <row r="52" spans="1:3">
      <c r="A52" t="s">
        <v>197</v>
      </c>
    </row>
    <row r="53" spans="1:3">
      <c r="B53" t="s">
        <v>198</v>
      </c>
    </row>
    <row r="54" spans="1:3">
      <c r="B54" t="s">
        <v>199</v>
      </c>
    </row>
    <row r="56" spans="1:3">
      <c r="A56" t="s">
        <v>200</v>
      </c>
    </row>
    <row r="57" spans="1:3">
      <c r="B57" t="s">
        <v>201</v>
      </c>
    </row>
    <row r="59" spans="1:3">
      <c r="A59" t="s">
        <v>202</v>
      </c>
    </row>
    <row r="61" spans="1:3">
      <c r="A61" t="s">
        <v>203</v>
      </c>
    </row>
    <row r="62" spans="1:3">
      <c r="A62" t="s">
        <v>204</v>
      </c>
    </row>
    <row r="63" spans="1:3">
      <c r="A63" t="s">
        <v>205</v>
      </c>
      <c r="B63" t="s">
        <v>206</v>
      </c>
    </row>
    <row r="64" spans="1:3">
      <c r="C64" t="s">
        <v>207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 b</dc:creator>
  <cp:keywords/>
  <dc:description/>
  <cp:lastModifiedBy>Andras Bereti</cp:lastModifiedBy>
  <cp:revision/>
  <dcterms:created xsi:type="dcterms:W3CDTF">2020-04-26T20:17:07Z</dcterms:created>
  <dcterms:modified xsi:type="dcterms:W3CDTF">2026-01-20T15:56:34Z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1e85bf-ac82-4d95-8ebe-b1488d74b05a_Enabled">
    <vt:lpwstr>true</vt:lpwstr>
  </property>
  <property fmtid="{D5CDD505-2E9C-101B-9397-08002B2CF9AE}" pid="3" name="MSIP_Label_0c1e85bf-ac82-4d95-8ebe-b1488d74b05a_SetDate">
    <vt:lpwstr>2025-04-02T09:28:08Z</vt:lpwstr>
  </property>
  <property fmtid="{D5CDD505-2E9C-101B-9397-08002B2CF9AE}" pid="4" name="MSIP_Label_0c1e85bf-ac82-4d95-8ebe-b1488d74b05a_Method">
    <vt:lpwstr>Privileged</vt:lpwstr>
  </property>
  <property fmtid="{D5CDD505-2E9C-101B-9397-08002B2CF9AE}" pid="5" name="MSIP_Label_0c1e85bf-ac82-4d95-8ebe-b1488d74b05a_Name">
    <vt:lpwstr>0c1e85bf-ac82-4d95-8ebe-b1488d74b05a</vt:lpwstr>
  </property>
  <property fmtid="{D5CDD505-2E9C-101B-9397-08002B2CF9AE}" pid="6" name="MSIP_Label_0c1e85bf-ac82-4d95-8ebe-b1488d74b05a_SiteId">
    <vt:lpwstr>fb6ea403-7cf1-4905-810a-fe5547e98204</vt:lpwstr>
  </property>
  <property fmtid="{D5CDD505-2E9C-101B-9397-08002B2CF9AE}" pid="7" name="MSIP_Label_0c1e85bf-ac82-4d95-8ebe-b1488d74b05a_ActionId">
    <vt:lpwstr>4fd9604b-bc45-4592-b805-859d52ed8a92</vt:lpwstr>
  </property>
  <property fmtid="{D5CDD505-2E9C-101B-9397-08002B2CF9AE}" pid="8" name="MSIP_Label_0c1e85bf-ac82-4d95-8ebe-b1488d74b05a_ContentBits">
    <vt:lpwstr>0</vt:lpwstr>
  </property>
</Properties>
</file>